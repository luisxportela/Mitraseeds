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" sheetId="1" state="visible" r:id="rId3"/>
    <sheet name="Matrix" sheetId="2" state="visible" r:id="rId4"/>
    <sheet name="Character_states" sheetId="3" state="visible" r:id="rId5"/>
    <sheet name="Seed_dimensions" sheetId="4" state="visible" r:id="rId6"/>
    <sheet name="Biom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<sst xmlns="http://schemas.openxmlformats.org/spreadsheetml/2006/main" count="420" uniqueCount="164">
  <si>
    <t xml:space="preserve">Seed character matrix of South American Mitracarpus</t>
  </si>
  <si>
    <t xml:space="preserve">Data underlying: Portela LHX, Souza EB, Nuñez-Florentín M, Nepomuceno A, Santos FAR, Zappi DC. Seed micromorphology diagnoses species but does not support infrageneric groups in South American Mitracarpus (Spermacoceae, Rubiaceae).</t>
  </si>
  <si>
    <t xml:space="preserve">Contents</t>
  </si>
  <si>
    <t xml:space="preserve">  Matrix             27 species × 9 unordered qualitative characters, as numeric state codes. This is the matrix the analyses read.</t>
  </si>
  <si>
    <t xml:space="preserve">  Character_states   The 52 states, with the definition of each code.</t>
  </si>
  <si>
    <t xml:space="preserve">  Seed_dimensions    Observed length and width ranges per species, with means and the length/width ratio.</t>
  </si>
  <si>
    <t xml:space="preserve">  Biomes             Biome assignment per species, its basis, and how confident that assignment is.</t>
  </si>
  <si>
    <t xml:space="preserve">Notes</t>
  </si>
  <si>
    <t xml:space="preserve">  An empty cell in Matrix means the state could not be determined from the material available (NA), not zero.</t>
  </si>
  <si>
    <t xml:space="preserve">  Characters are unordered: state 3 is not 'between' states 2 and 4. Gower dissimilarity is computed accordingly.</t>
  </si>
  <si>
    <t xml:space="preserve">  The analyses that use this matrix are in Supplementary_File_2_pipeline.R, which contains the same data embedded as plain text.</t>
  </si>
  <si>
    <t xml:space="preserve">Repository: https://github.com/luisxportela/Mitraseeds</t>
  </si>
  <si>
    <t xml:space="preserve">License: CC BY 4.0 (data) · MIT (code)</t>
  </si>
  <si>
    <t xml:space="preserve">Species</t>
  </si>
  <si>
    <t xml:space="preserve">VGS</t>
  </si>
  <si>
    <t xml:space="preserve">SSh</t>
  </si>
  <si>
    <t xml:space="preserve">AW</t>
  </si>
  <si>
    <t xml:space="preserve">PW</t>
  </si>
  <si>
    <t xml:space="preserve">EOrn</t>
  </si>
  <si>
    <t xml:space="preserve">CS</t>
  </si>
  <si>
    <t xml:space="preserve">DCD</t>
  </si>
  <si>
    <t xml:space="preserve">TVGDV</t>
  </si>
  <si>
    <t xml:space="preserve">Colour</t>
  </si>
  <si>
    <t xml:space="preserve">M. eritrichoides</t>
  </si>
  <si>
    <t xml:space="preserve">M. parvulus</t>
  </si>
  <si>
    <t xml:space="preserve">M. longicalyx</t>
  </si>
  <si>
    <t xml:space="preserve">M. nitidus</t>
  </si>
  <si>
    <t xml:space="preserve">M. albomarginatus</t>
  </si>
  <si>
    <t xml:space="preserve">M. bacigalupoae</t>
  </si>
  <si>
    <t xml:space="preserve">M. fernandesii</t>
  </si>
  <si>
    <t xml:space="preserve">M. brasiliensis</t>
  </si>
  <si>
    <t xml:space="preserve">M. hirtus</t>
  </si>
  <si>
    <t xml:space="preserve">M. microspermus</t>
  </si>
  <si>
    <t xml:space="preserve">M. polygonifolius</t>
  </si>
  <si>
    <t xml:space="preserve">M. pusillus</t>
  </si>
  <si>
    <t xml:space="preserve">M. recurvatus</t>
  </si>
  <si>
    <t xml:space="preserve">M. steyermarkii</t>
  </si>
  <si>
    <t xml:space="preserve">M. anthospermoides</t>
  </si>
  <si>
    <t xml:space="preserve">M. baturitensis</t>
  </si>
  <si>
    <t xml:space="preserve">M. bicrucis</t>
  </si>
  <si>
    <t xml:space="preserve">M. carajasensis</t>
  </si>
  <si>
    <t xml:space="preserve">M. frigidus</t>
  </si>
  <si>
    <t xml:space="preserve">M. rigidifolius</t>
  </si>
  <si>
    <t xml:space="preserve">M. schininianus</t>
  </si>
  <si>
    <t xml:space="preserve">M. eichleri</t>
  </si>
  <si>
    <t xml:space="preserve">M. salzmannianus</t>
  </si>
  <si>
    <t xml:space="preserve">M. lhotzkyanus</t>
  </si>
  <si>
    <t xml:space="preserve">M. megapotamicus</t>
  </si>
  <si>
    <t xml:space="preserve">M. hasslerianus</t>
  </si>
  <si>
    <t xml:space="preserve">M. diversifolius</t>
  </si>
  <si>
    <t xml:space="preserve">Empty cell = state not determined because of limited material (read as NA). State definitions are on the Character_states sheet.</t>
  </si>
  <si>
    <t xml:space="preserve">This is the matrix read by Supplementary_File_2_pipeline.R; the codes and their order are identical.</t>
  </si>
  <si>
    <t xml:space="preserve">Character</t>
  </si>
  <si>
    <t xml:space="preserve">Character name</t>
  </si>
  <si>
    <t xml:space="preserve">State code</t>
  </si>
  <si>
    <t xml:space="preserve">State definition</t>
  </si>
  <si>
    <t xml:space="preserve">Ventral groove shape</t>
  </si>
  <si>
    <t xml:space="preserve">X-shaped</t>
  </si>
  <si>
    <t xml:space="preserve">Inverted-Y</t>
  </si>
  <si>
    <t xml:space="preserve">Rectangular to quadrangular</t>
  </si>
  <si>
    <t xml:space="preserve">Oblong</t>
  </si>
  <si>
    <t xml:space="preserve">Seed shape</t>
  </si>
  <si>
    <t xml:space="preserve">Globose</t>
  </si>
  <si>
    <t xml:space="preserve">Oblongoid</t>
  </si>
  <si>
    <t xml:space="preserve">Obovoid</t>
  </si>
  <si>
    <t xml:space="preserve">Oblongoid-obovoid</t>
  </si>
  <si>
    <t xml:space="preserve">Oblongoid-globose</t>
  </si>
  <si>
    <t xml:space="preserve">Obovoid-globose</t>
  </si>
  <si>
    <t xml:space="preserve">Oblongoid-obovoid-globose</t>
  </si>
  <si>
    <t xml:space="preserve">Globose-obovoid</t>
  </si>
  <si>
    <t xml:space="preserve">Anticlinal wall configuration</t>
  </si>
  <si>
    <t xml:space="preserve">Elevated, thickened; straight or curved</t>
  </si>
  <si>
    <t xml:space="preserve">Elevated or canaliculate; straight or curved</t>
  </si>
  <si>
    <t xml:space="preserve">Elevated; straight or curved</t>
  </si>
  <si>
    <t xml:space="preserve">Canaliculate; straight or curved</t>
  </si>
  <si>
    <t xml:space="preserve">Elevated; straight or irregularly curved</t>
  </si>
  <si>
    <t xml:space="preserve">Elevated; irregularly curved to Ω-undulate</t>
  </si>
  <si>
    <t xml:space="preserve">Elevated, thickened; straight to undulate</t>
  </si>
  <si>
    <t xml:space="preserve">Elevated; Ω-undulate</t>
  </si>
  <si>
    <t xml:space="preserve">Straight or curved</t>
  </si>
  <si>
    <t xml:space="preserve">Thickened</t>
  </si>
  <si>
    <t xml:space="preserve">Periclinal wall topography</t>
  </si>
  <si>
    <t xml:space="preserve">Slightly concave to flat</t>
  </si>
  <si>
    <t xml:space="preserve">Concave</t>
  </si>
  <si>
    <t xml:space="preserve">Slightly convex to flat</t>
  </si>
  <si>
    <t xml:space="preserve">Convex</t>
  </si>
  <si>
    <t xml:space="preserve">Strongly convex</t>
  </si>
  <si>
    <t xml:space="preserve">Flat to slightly convex</t>
  </si>
  <si>
    <t xml:space="preserve">Exotestal ornamentation</t>
  </si>
  <si>
    <t xml:space="preserve">Reticulate</t>
  </si>
  <si>
    <t xml:space="preserve">Reticulate-foveate</t>
  </si>
  <si>
    <t xml:space="preserve">Papillate</t>
  </si>
  <si>
    <t xml:space="preserve">Exotestal cell shape</t>
  </si>
  <si>
    <t xml:space="preserve">Polygonal, isodiametric</t>
  </si>
  <si>
    <t xml:space="preserve">Polygonal, isodiametric or elongate</t>
  </si>
  <si>
    <t xml:space="preserve">Polygonal, elongate</t>
  </si>
  <si>
    <t xml:space="preserve">Isodiametric</t>
  </si>
  <si>
    <t xml:space="preserve">Polygonal, elongate to isodiametric</t>
  </si>
  <si>
    <t xml:space="preserve">Polygonal</t>
  </si>
  <si>
    <t xml:space="preserve">Elongate or isodiametric</t>
  </si>
  <si>
    <t xml:space="preserve">Dorsal cruciform depression</t>
  </si>
  <si>
    <t xml:space="preserve">Absent</t>
  </si>
  <si>
    <t xml:space="preserve">Faintly impressed</t>
  </si>
  <si>
    <t xml:space="preserve">Strongly impressed</t>
  </si>
  <si>
    <t xml:space="preserve">Faintly to strongly impressed, center filled with papillae</t>
  </si>
  <si>
    <t xml:space="preserve">Termination of the ventral groove extensions in dorsal view</t>
  </si>
  <si>
    <t xml:space="preserve">Evident</t>
  </si>
  <si>
    <t xml:space="preserve">Not evident</t>
  </si>
  <si>
    <t xml:space="preserve">Seed color</t>
  </si>
  <si>
    <t xml:space="preserve">Brown to dark brown</t>
  </si>
  <si>
    <t xml:space="preserve">Brown to light brown</t>
  </si>
  <si>
    <t xml:space="preserve">Light brown</t>
  </si>
  <si>
    <t xml:space="preserve">Brown</t>
  </si>
  <si>
    <t xml:space="preserve">Light brown to dark brown</t>
  </si>
  <si>
    <t xml:space="preserve">Brown, dark brown or black</t>
  </si>
  <si>
    <t xml:space="preserve">Dark brown</t>
  </si>
  <si>
    <t xml:space="preserve">Dark brown to black</t>
  </si>
  <si>
    <t xml:space="preserve">9 characters, 52 states. Characters are unordered qualitative (Gower dissimilarity treats them as such).</t>
  </si>
  <si>
    <t xml:space="preserve">Lmin (mm)</t>
  </si>
  <si>
    <t xml:space="preserve">Lmax (mm)</t>
  </si>
  <si>
    <t xml:space="preserve">Wmin (mm)</t>
  </si>
  <si>
    <t xml:space="preserve">Wmax (mm)</t>
  </si>
  <si>
    <t xml:space="preserve">L mean (mm)</t>
  </si>
  <si>
    <t xml:space="preserve">W mean (mm)</t>
  </si>
  <si>
    <t xml:space="preserve">L/W</t>
  </si>
  <si>
    <t xml:space="preserve">Lmin–Lmax and Wmin–Wmax are the observed ranges across the specimens examined (source: Table 1 and Table S1).</t>
  </si>
  <si>
    <t xml:space="preserve">L mean, W mean and L/W are computed here by formula, exactly as the pipeline computes them.</t>
  </si>
  <si>
    <t xml:space="preserve">Biome code</t>
  </si>
  <si>
    <t xml:space="preserve">Biome (Dinerstein et al. 2017)</t>
  </si>
  <si>
    <t xml:space="preserve">Ecoregion / basis</t>
  </si>
  <si>
    <t xml:space="preserve">Source confidence</t>
  </si>
  <si>
    <t xml:space="preserve">Confidence meaning</t>
  </si>
  <si>
    <t xml:space="preserve">Deserts_xeric</t>
  </si>
  <si>
    <t xml:space="preserve">Deserts &amp; xeric shrublands</t>
  </si>
  <si>
    <t xml:space="preserve">Caatinga</t>
  </si>
  <si>
    <t xml:space="preserve">H</t>
  </si>
  <si>
    <t xml:space="preserve">High - distribution stated in a revision or protologue</t>
  </si>
  <si>
    <t xml:space="preserve">Moist_forest</t>
  </si>
  <si>
    <t xml:space="preserve">Tropical &amp; subtropical moist broadleaf forests</t>
  </si>
  <si>
    <t xml:space="preserve">Atlantic restinga</t>
  </si>
  <si>
    <t xml:space="preserve">Alto Parana Atlantic forest</t>
  </si>
  <si>
    <t xml:space="preserve">L</t>
  </si>
  <si>
    <t xml:space="preserve">Lower - inferred from the localities of the examined specimens</t>
  </si>
  <si>
    <t xml:space="preserve">Multiple</t>
  </si>
  <si>
    <t xml:space="preserve">Multiple biomes</t>
  </si>
  <si>
    <t xml:space="preserve">Caatinga + Cerrado</t>
  </si>
  <si>
    <t xml:space="preserve">Dry_forest</t>
  </si>
  <si>
    <t xml:space="preserve">Tropical &amp; subtropical dry broadleaf forests</t>
  </si>
  <si>
    <t xml:space="preserve">Chiquitano dry forests</t>
  </si>
  <si>
    <t xml:space="preserve">Araucaria moist forests</t>
  </si>
  <si>
    <t xml:space="preserve">Amazon canga outcrops</t>
  </si>
  <si>
    <t xml:space="preserve">Bahia coastal forests</t>
  </si>
  <si>
    <t xml:space="preserve">Grass_savanna</t>
  </si>
  <si>
    <t xml:space="preserve">Tropical &amp; subtropical grasslands, savannas &amp; shrublands</t>
  </si>
  <si>
    <t xml:space="preserve">Cerrado</t>
  </si>
  <si>
    <t xml:space="preserve">widespread</t>
  </si>
  <si>
    <t xml:space="preserve">Cerrado (Paraguay and Mato Grosso)</t>
  </si>
  <si>
    <t xml:space="preserve">Cerrado + Pampa + Chaco</t>
  </si>
  <si>
    <t xml:space="preserve">Montane_grass</t>
  </si>
  <si>
    <t xml:space="preserve">Montane grasslands &amp; shrublands</t>
  </si>
  <si>
    <t xml:space="preserve">Campos rupestres</t>
  </si>
  <si>
    <t xml:space="preserve">Campos rupestres + Atlantic</t>
  </si>
  <si>
    <t xml:space="preserve">Biomes follow Dinerstein et al. (2017) and refer to the distribution of the species, not to the locality of an individual specimen.</t>
  </si>
  <si>
    <t xml:space="preserve">M. hasslerianus is assigned to grasslands &amp; savannas (Cerrado) on the evidence of the specimen labels and of POWO, not on the ecoregion polygon of the type locality.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</si>
</sst>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59595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23.8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A17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10" min="2" style="0" width="8"/>
  </cols>
  <sheetData>
    <row r="1" customFormat="false" ht="15" hidden="false" customHeight="false" outlineLevel="0" collapsed="false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</row>
    <row r="2" customFormat="false" ht="15" hidden="false" customHeight="false" outlineLevel="0" collapsed="false">
      <c r="A2" s="5" t="s">
        <v>23</v>
      </c>
      <c r="B2" s="6" t="n">
        <v>1</v>
      </c>
      <c r="C2" s="6" t="n">
        <v>1</v>
      </c>
      <c r="D2" s="6" t="n">
        <v>1</v>
      </c>
      <c r="E2" s="6" t="n">
        <v>1</v>
      </c>
      <c r="F2" s="6" t="n">
        <v>2</v>
      </c>
      <c r="G2" s="6" t="n">
        <v>1</v>
      </c>
      <c r="H2" s="6" t="n">
        <v>1</v>
      </c>
      <c r="I2" s="6" t="n">
        <v>1</v>
      </c>
      <c r="J2" s="6" t="n">
        <v>1</v>
      </c>
    </row>
    <row r="3" customFormat="false" ht="15" hidden="false" customHeight="false" outlineLevel="0" collapsed="false">
      <c r="A3" s="5" t="s">
        <v>24</v>
      </c>
      <c r="B3" s="6" t="n">
        <v>1</v>
      </c>
      <c r="C3" s="6" t="n">
        <v>3</v>
      </c>
      <c r="D3" s="6" t="n">
        <v>1</v>
      </c>
      <c r="E3" s="6" t="n">
        <v>1</v>
      </c>
      <c r="F3" s="6" t="n">
        <v>2</v>
      </c>
      <c r="G3" s="6" t="n">
        <v>1</v>
      </c>
      <c r="H3" s="6" t="n">
        <v>1</v>
      </c>
      <c r="I3" s="6" t="n">
        <v>1</v>
      </c>
      <c r="J3" s="6" t="n">
        <v>4</v>
      </c>
    </row>
    <row r="4" customFormat="false" ht="15" hidden="false" customHeight="false" outlineLevel="0" collapsed="false">
      <c r="A4" s="5" t="s">
        <v>25</v>
      </c>
      <c r="B4" s="6" t="n">
        <v>1</v>
      </c>
      <c r="C4" s="6" t="n">
        <v>5</v>
      </c>
      <c r="D4" s="6" t="n">
        <v>4</v>
      </c>
      <c r="E4" s="6" t="n">
        <v>3</v>
      </c>
      <c r="F4" s="6" t="n">
        <v>1</v>
      </c>
      <c r="G4" s="6" t="n">
        <v>3</v>
      </c>
      <c r="H4" s="6" t="n">
        <v>1</v>
      </c>
      <c r="I4" s="6" t="n">
        <v>1</v>
      </c>
      <c r="J4" s="6" t="n">
        <v>5</v>
      </c>
    </row>
    <row r="5" customFormat="false" ht="15" hidden="false" customHeight="false" outlineLevel="0" collapsed="false">
      <c r="A5" s="5" t="s">
        <v>26</v>
      </c>
      <c r="B5" s="6" t="n">
        <v>1</v>
      </c>
      <c r="C5" s="6" t="n">
        <v>2</v>
      </c>
      <c r="D5" s="6" t="n">
        <v>3</v>
      </c>
      <c r="E5" s="6" t="n">
        <v>2</v>
      </c>
      <c r="F5" s="6" t="n">
        <v>2</v>
      </c>
      <c r="G5" s="6" t="n">
        <v>2</v>
      </c>
      <c r="H5" s="6" t="n">
        <v>1</v>
      </c>
      <c r="I5" s="6" t="n">
        <v>2</v>
      </c>
      <c r="J5" s="6" t="n">
        <v>3</v>
      </c>
    </row>
    <row r="6" customFormat="false" ht="15" hidden="false" customHeight="false" outlineLevel="0" collapsed="false">
      <c r="A6" s="5" t="s">
        <v>27</v>
      </c>
      <c r="B6" s="6" t="n">
        <v>1</v>
      </c>
      <c r="C6" s="6" t="n">
        <v>4</v>
      </c>
      <c r="D6" s="6" t="n">
        <v>4</v>
      </c>
      <c r="E6" s="6" t="n">
        <v>3</v>
      </c>
      <c r="F6" s="6" t="n">
        <v>1</v>
      </c>
      <c r="G6" s="6" t="n">
        <v>3</v>
      </c>
      <c r="H6" s="6" t="n">
        <v>2</v>
      </c>
      <c r="I6" s="6" t="n">
        <v>1</v>
      </c>
      <c r="J6" s="6" t="n">
        <v>2</v>
      </c>
    </row>
    <row r="7" customFormat="false" ht="15" hidden="false" customHeight="false" outlineLevel="0" collapsed="false">
      <c r="A7" s="5" t="s">
        <v>28</v>
      </c>
      <c r="B7" s="6" t="n">
        <v>1</v>
      </c>
      <c r="C7" s="6" t="n">
        <v>3</v>
      </c>
      <c r="D7" s="6" t="n">
        <v>1</v>
      </c>
      <c r="E7" s="6" t="n">
        <v>1</v>
      </c>
      <c r="F7" s="6" t="n">
        <v>2</v>
      </c>
      <c r="G7" s="6" t="n">
        <v>1</v>
      </c>
      <c r="H7" s="6" t="n">
        <v>2</v>
      </c>
      <c r="I7" s="6" t="n">
        <v>1</v>
      </c>
      <c r="J7" s="6" t="n">
        <v>3</v>
      </c>
    </row>
    <row r="8" customFormat="false" ht="15" hidden="false" customHeight="false" outlineLevel="0" collapsed="false">
      <c r="A8" s="5" t="s">
        <v>29</v>
      </c>
      <c r="B8" s="6" t="n">
        <v>1</v>
      </c>
      <c r="C8" s="6" t="n">
        <v>4</v>
      </c>
      <c r="D8" s="6" t="n">
        <v>1</v>
      </c>
      <c r="E8" s="6" t="n">
        <v>1</v>
      </c>
      <c r="F8" s="6" t="n">
        <v>2</v>
      </c>
      <c r="G8" s="6" t="n">
        <v>1</v>
      </c>
      <c r="H8" s="6" t="n">
        <v>2</v>
      </c>
      <c r="I8" s="6" t="n">
        <v>1</v>
      </c>
      <c r="J8" s="6" t="n">
        <v>1</v>
      </c>
    </row>
    <row r="9" customFormat="false" ht="15" hidden="false" customHeight="false" outlineLevel="0" collapsed="false">
      <c r="A9" s="5" t="s">
        <v>30</v>
      </c>
      <c r="B9" s="6" t="n">
        <v>1</v>
      </c>
      <c r="C9" s="6" t="n">
        <v>2</v>
      </c>
      <c r="D9" s="6" t="n">
        <v>8</v>
      </c>
      <c r="E9" s="6" t="n">
        <v>2</v>
      </c>
      <c r="F9" s="6" t="n">
        <v>2</v>
      </c>
      <c r="G9" s="6" t="n">
        <v>1</v>
      </c>
      <c r="H9" s="6" t="n">
        <v>1</v>
      </c>
      <c r="I9" s="6" t="n">
        <v>2</v>
      </c>
      <c r="J9" s="6" t="n">
        <v>2</v>
      </c>
    </row>
    <row r="10" customFormat="false" ht="15" hidden="false" customHeight="false" outlineLevel="0" collapsed="false">
      <c r="A10" s="5" t="s">
        <v>31</v>
      </c>
      <c r="B10" s="6" t="n">
        <v>1</v>
      </c>
      <c r="C10" s="6" t="n">
        <v>2</v>
      </c>
      <c r="D10" s="6" t="n">
        <v>2</v>
      </c>
      <c r="E10" s="6" t="n">
        <v>2</v>
      </c>
      <c r="F10" s="6" t="n">
        <v>2</v>
      </c>
      <c r="G10" s="6" t="n">
        <v>2</v>
      </c>
      <c r="H10" s="6" t="n">
        <v>1</v>
      </c>
      <c r="I10" s="6" t="n">
        <v>1</v>
      </c>
      <c r="J10" s="6" t="n">
        <v>2</v>
      </c>
    </row>
    <row r="11" customFormat="false" ht="15" hidden="false" customHeight="false" outlineLevel="0" collapsed="false">
      <c r="A11" s="5" t="s">
        <v>32</v>
      </c>
      <c r="B11" s="6" t="n">
        <v>1</v>
      </c>
      <c r="C11" s="6" t="n">
        <v>4</v>
      </c>
      <c r="D11" s="6" t="n">
        <v>1</v>
      </c>
      <c r="E11" s="6" t="n">
        <v>1</v>
      </c>
      <c r="F11" s="6" t="n">
        <v>2</v>
      </c>
      <c r="G11" s="6" t="n">
        <v>5</v>
      </c>
      <c r="H11" s="6" t="n">
        <v>2</v>
      </c>
      <c r="I11" s="6" t="n">
        <v>1</v>
      </c>
      <c r="J11" s="6" t="n">
        <v>4</v>
      </c>
    </row>
    <row r="12" customFormat="false" ht="15" hidden="false" customHeight="false" outlineLevel="0" collapsed="false">
      <c r="A12" s="5" t="s">
        <v>33</v>
      </c>
      <c r="B12" s="6" t="n">
        <v>1</v>
      </c>
      <c r="C12" s="6" t="n">
        <v>4</v>
      </c>
      <c r="D12" s="6" t="n">
        <v>6</v>
      </c>
      <c r="E12" s="6" t="n">
        <v>2</v>
      </c>
      <c r="F12" s="6" t="n">
        <v>2</v>
      </c>
      <c r="G12" s="6" t="n">
        <v>1</v>
      </c>
      <c r="H12" s="6" t="n">
        <v>1</v>
      </c>
      <c r="I12" s="6" t="n">
        <v>2</v>
      </c>
      <c r="J12" s="6" t="n">
        <v>2</v>
      </c>
    </row>
    <row r="13" customFormat="false" ht="15" hidden="false" customHeight="false" outlineLevel="0" collapsed="false">
      <c r="A13" s="5" t="s">
        <v>34</v>
      </c>
      <c r="B13" s="6" t="n">
        <v>1</v>
      </c>
      <c r="C13" s="6" t="n">
        <v>6</v>
      </c>
      <c r="D13" s="6" t="n">
        <v>4</v>
      </c>
      <c r="E13" s="6" t="n">
        <v>4</v>
      </c>
      <c r="F13" s="6" t="n">
        <v>3</v>
      </c>
      <c r="G13" s="6" t="n">
        <v>4</v>
      </c>
      <c r="H13" s="6" t="n">
        <v>1</v>
      </c>
      <c r="I13" s="6" t="n">
        <v>1</v>
      </c>
      <c r="J13" s="6" t="n">
        <v>1</v>
      </c>
    </row>
    <row r="14" customFormat="false" ht="15" hidden="false" customHeight="false" outlineLevel="0" collapsed="false">
      <c r="A14" s="5" t="s">
        <v>35</v>
      </c>
      <c r="B14" s="6" t="n">
        <v>1</v>
      </c>
      <c r="C14" s="6" t="n">
        <v>8</v>
      </c>
      <c r="D14" s="6" t="n">
        <v>9</v>
      </c>
      <c r="E14" s="6" t="n">
        <v>4</v>
      </c>
      <c r="F14" s="6" t="n">
        <v>3</v>
      </c>
      <c r="G14" s="6" t="n">
        <v>4</v>
      </c>
      <c r="H14" s="6" t="n">
        <v>1</v>
      </c>
      <c r="I14" s="6" t="n">
        <v>1</v>
      </c>
      <c r="J14" s="6" t="n">
        <v>7</v>
      </c>
    </row>
    <row r="15" customFormat="false" ht="15" hidden="false" customHeight="false" outlineLevel="0" collapsed="false">
      <c r="A15" s="5" t="s">
        <v>36</v>
      </c>
      <c r="B15" s="6" t="n">
        <v>1</v>
      </c>
      <c r="C15" s="6" t="n">
        <v>3</v>
      </c>
      <c r="D15" s="6" t="n">
        <v>4</v>
      </c>
      <c r="E15" s="6" t="n">
        <v>5</v>
      </c>
      <c r="F15" s="6" t="n">
        <v>3</v>
      </c>
      <c r="G15" s="6" t="n">
        <v>4</v>
      </c>
      <c r="H15" s="6" t="n">
        <v>1</v>
      </c>
      <c r="I15" s="6" t="n">
        <v>1</v>
      </c>
      <c r="J15" s="6" t="n">
        <v>3</v>
      </c>
    </row>
    <row r="16" customFormat="false" ht="15" hidden="false" customHeight="false" outlineLevel="0" collapsed="false">
      <c r="A16" s="5" t="s">
        <v>37</v>
      </c>
      <c r="B16" s="6" t="n">
        <v>1</v>
      </c>
      <c r="C16" s="6" t="n">
        <v>6</v>
      </c>
      <c r="D16" s="6" t="n">
        <v>5</v>
      </c>
      <c r="E16" s="6" t="n">
        <v>2</v>
      </c>
      <c r="F16" s="6" t="n">
        <v>2</v>
      </c>
      <c r="G16" s="6" t="n">
        <v>3</v>
      </c>
      <c r="H16" s="6" t="n">
        <v>2</v>
      </c>
      <c r="I16" s="6" t="n">
        <v>1</v>
      </c>
      <c r="J16" s="6" t="n">
        <v>6</v>
      </c>
    </row>
    <row r="17" customFormat="false" ht="15" hidden="false" customHeight="false" outlineLevel="0" collapsed="false">
      <c r="A17" s="5" t="s">
        <v>38</v>
      </c>
      <c r="B17" s="6" t="n">
        <v>1</v>
      </c>
      <c r="C17" s="6" t="n">
        <v>6</v>
      </c>
      <c r="D17" s="6" t="n">
        <v>6</v>
      </c>
      <c r="E17" s="6" t="n">
        <v>2</v>
      </c>
      <c r="F17" s="6" t="n">
        <v>2</v>
      </c>
      <c r="G17" s="6" t="n">
        <v>3</v>
      </c>
      <c r="H17" s="6" t="n">
        <v>3</v>
      </c>
      <c r="I17" s="6" t="n">
        <v>1</v>
      </c>
      <c r="J17" s="6" t="n">
        <v>4</v>
      </c>
    </row>
    <row r="18" customFormat="false" ht="15" hidden="false" customHeight="false" outlineLevel="0" collapsed="false">
      <c r="A18" s="5" t="s">
        <v>39</v>
      </c>
      <c r="B18" s="6" t="n">
        <v>1</v>
      </c>
      <c r="C18" s="6" t="n">
        <v>2</v>
      </c>
      <c r="D18" s="6" t="n">
        <v>7</v>
      </c>
      <c r="E18" s="6" t="n">
        <v>1</v>
      </c>
      <c r="F18" s="6" t="n">
        <v>2</v>
      </c>
      <c r="G18" s="6" t="n">
        <v>2</v>
      </c>
      <c r="H18" s="6" t="n">
        <v>3</v>
      </c>
      <c r="I18" s="6" t="n">
        <v>1</v>
      </c>
      <c r="J18" s="6" t="n">
        <v>7</v>
      </c>
    </row>
    <row r="19" customFormat="false" ht="15" hidden="false" customHeight="false" outlineLevel="0" collapsed="false">
      <c r="A19" s="5" t="s">
        <v>40</v>
      </c>
      <c r="B19" s="6" t="n">
        <v>1</v>
      </c>
      <c r="C19" s="6" t="n">
        <v>2</v>
      </c>
      <c r="D19" s="6"/>
      <c r="E19" s="6"/>
      <c r="F19" s="6" t="n">
        <v>2</v>
      </c>
      <c r="G19" s="6"/>
      <c r="H19" s="6" t="n">
        <v>3</v>
      </c>
      <c r="I19" s="6" t="n">
        <v>2</v>
      </c>
      <c r="J19" s="6"/>
    </row>
    <row r="20" customFormat="false" ht="15" hidden="false" customHeight="false" outlineLevel="0" collapsed="false">
      <c r="A20" s="5" t="s">
        <v>41</v>
      </c>
      <c r="B20" s="6" t="n">
        <v>1</v>
      </c>
      <c r="C20" s="6" t="n">
        <v>6</v>
      </c>
      <c r="D20" s="6" t="n">
        <v>6</v>
      </c>
      <c r="E20" s="6" t="n">
        <v>2</v>
      </c>
      <c r="F20" s="6" t="n">
        <v>2</v>
      </c>
      <c r="G20" s="6" t="n">
        <v>3</v>
      </c>
      <c r="H20" s="6" t="n">
        <v>3</v>
      </c>
      <c r="I20" s="6" t="n">
        <v>1</v>
      </c>
      <c r="J20" s="6" t="n">
        <v>2</v>
      </c>
    </row>
    <row r="21" customFormat="false" ht="15" hidden="false" customHeight="false" outlineLevel="0" collapsed="false">
      <c r="A21" s="5" t="s">
        <v>42</v>
      </c>
      <c r="B21" s="6" t="n">
        <v>1</v>
      </c>
      <c r="C21" s="6" t="n">
        <v>4</v>
      </c>
      <c r="D21" s="6" t="n">
        <v>3</v>
      </c>
      <c r="E21" s="6" t="n">
        <v>2</v>
      </c>
      <c r="F21" s="6" t="n">
        <v>2</v>
      </c>
      <c r="G21" s="6" t="n">
        <v>6</v>
      </c>
      <c r="H21" s="6" t="n">
        <v>4</v>
      </c>
      <c r="I21" s="6" t="n">
        <v>1</v>
      </c>
      <c r="J21" s="6" t="n">
        <v>8</v>
      </c>
    </row>
    <row r="22" customFormat="false" ht="15" hidden="false" customHeight="false" outlineLevel="0" collapsed="false">
      <c r="A22" s="5" t="s">
        <v>43</v>
      </c>
      <c r="B22" s="6" t="n">
        <v>1</v>
      </c>
      <c r="C22" s="6" t="n">
        <v>8</v>
      </c>
      <c r="D22" s="6" t="n">
        <v>9</v>
      </c>
      <c r="E22" s="6" t="n">
        <v>1</v>
      </c>
      <c r="F22" s="6" t="n">
        <v>2</v>
      </c>
      <c r="G22" s="6" t="n">
        <v>7</v>
      </c>
      <c r="H22" s="6" t="n">
        <v>2</v>
      </c>
      <c r="I22" s="6" t="n">
        <v>1</v>
      </c>
      <c r="J22" s="6" t="n">
        <v>1</v>
      </c>
    </row>
    <row r="23" customFormat="false" ht="15" hidden="false" customHeight="false" outlineLevel="0" collapsed="false">
      <c r="A23" s="5" t="s">
        <v>44</v>
      </c>
      <c r="B23" s="6" t="n">
        <v>2</v>
      </c>
      <c r="C23" s="6" t="n">
        <v>4</v>
      </c>
      <c r="D23" s="6" t="n">
        <v>5</v>
      </c>
      <c r="E23" s="6" t="n">
        <v>2</v>
      </c>
      <c r="F23" s="6" t="n">
        <v>2</v>
      </c>
      <c r="G23" s="6" t="n">
        <v>3</v>
      </c>
      <c r="H23" s="6" t="n">
        <v>1</v>
      </c>
      <c r="I23" s="6" t="n">
        <v>2</v>
      </c>
      <c r="J23" s="6" t="n">
        <v>4</v>
      </c>
    </row>
    <row r="24" customFormat="false" ht="15" hidden="false" customHeight="false" outlineLevel="0" collapsed="false">
      <c r="A24" s="5" t="s">
        <v>45</v>
      </c>
      <c r="B24" s="6" t="n">
        <v>2</v>
      </c>
      <c r="C24" s="6" t="n">
        <v>7</v>
      </c>
      <c r="D24" s="6" t="n">
        <v>5</v>
      </c>
      <c r="E24" s="6" t="n">
        <v>2</v>
      </c>
      <c r="F24" s="6" t="n">
        <v>2</v>
      </c>
      <c r="G24" s="6" t="n">
        <v>3</v>
      </c>
      <c r="H24" s="6" t="n">
        <v>1</v>
      </c>
      <c r="I24" s="6" t="n">
        <v>2</v>
      </c>
      <c r="J24" s="6" t="n">
        <v>4</v>
      </c>
    </row>
    <row r="25" customFormat="false" ht="15" hidden="false" customHeight="false" outlineLevel="0" collapsed="false">
      <c r="A25" s="5" t="s">
        <v>46</v>
      </c>
      <c r="B25" s="6" t="n">
        <v>3</v>
      </c>
      <c r="C25" s="6" t="n">
        <v>5</v>
      </c>
      <c r="D25" s="6" t="n">
        <v>4</v>
      </c>
      <c r="E25" s="6" t="n">
        <v>6</v>
      </c>
      <c r="F25" s="6" t="n">
        <v>1</v>
      </c>
      <c r="G25" s="6" t="n">
        <v>3</v>
      </c>
      <c r="H25" s="6" t="n">
        <v>1</v>
      </c>
      <c r="I25" s="6" t="n">
        <v>2</v>
      </c>
      <c r="J25" s="6" t="n">
        <v>1</v>
      </c>
    </row>
    <row r="26" customFormat="false" ht="15" hidden="false" customHeight="false" outlineLevel="0" collapsed="false">
      <c r="A26" s="5" t="s">
        <v>47</v>
      </c>
      <c r="B26" s="6" t="n">
        <v>3</v>
      </c>
      <c r="C26" s="6" t="n">
        <v>2</v>
      </c>
      <c r="D26" s="6" t="n">
        <v>4</v>
      </c>
      <c r="E26" s="6" t="n">
        <v>6</v>
      </c>
      <c r="F26" s="6" t="n">
        <v>1</v>
      </c>
      <c r="G26" s="6" t="n">
        <v>3</v>
      </c>
      <c r="H26" s="6" t="n">
        <v>1</v>
      </c>
      <c r="I26" s="6" t="n">
        <v>2</v>
      </c>
      <c r="J26" s="6" t="n">
        <v>1</v>
      </c>
    </row>
    <row r="27" customFormat="false" ht="15" hidden="false" customHeight="false" outlineLevel="0" collapsed="false">
      <c r="A27" s="5" t="s">
        <v>48</v>
      </c>
      <c r="B27" s="6" t="n">
        <v>3</v>
      </c>
      <c r="C27" s="6" t="n">
        <v>2</v>
      </c>
      <c r="D27" s="6" t="n">
        <v>4</v>
      </c>
      <c r="E27" s="6" t="n">
        <v>6</v>
      </c>
      <c r="F27" s="6" t="n">
        <v>1</v>
      </c>
      <c r="G27" s="6" t="n">
        <v>6</v>
      </c>
      <c r="H27" s="6" t="n">
        <v>1</v>
      </c>
      <c r="I27" s="6" t="n">
        <v>2</v>
      </c>
      <c r="J27" s="6" t="n">
        <v>1</v>
      </c>
    </row>
    <row r="28" customFormat="false" ht="15" hidden="false" customHeight="false" outlineLevel="0" collapsed="false">
      <c r="A28" s="5" t="s">
        <v>49</v>
      </c>
      <c r="B28" s="6" t="n">
        <v>4</v>
      </c>
      <c r="C28" s="6" t="n">
        <v>4</v>
      </c>
      <c r="D28" s="6" t="n">
        <v>10</v>
      </c>
      <c r="E28" s="6" t="n">
        <v>2</v>
      </c>
      <c r="F28" s="6" t="n">
        <v>2</v>
      </c>
      <c r="G28" s="6" t="n">
        <v>6</v>
      </c>
      <c r="H28" s="6" t="n">
        <v>1</v>
      </c>
      <c r="I28" s="6" t="n">
        <v>2</v>
      </c>
      <c r="J28" s="6" t="n">
        <v>1</v>
      </c>
    </row>
    <row r="30" customFormat="false" ht="15" hidden="false" customHeight="false" outlineLevel="0" collapsed="false">
      <c r="A30" s="7" t="s">
        <v>50</v>
      </c>
    </row>
    <row r="31" customFormat="false" ht="15" hidden="false" customHeight="false" outlineLevel="0" collapsed="false">
      <c r="A31" s="7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52</v>
      </c>
      <c r="B1" s="4" t="s">
        <v>53</v>
      </c>
      <c r="C1" s="4" t="s">
        <v>54</v>
      </c>
      <c r="D1" s="4" t="s">
        <v>55</v>
      </c>
    </row>
    <row r="2" customFormat="false" ht="15" hidden="false" customHeight="false" outlineLevel="0" collapsed="false">
      <c r="A2" s="8" t="s">
        <v>14</v>
      </c>
      <c r="B2" s="9" t="s">
        <v>56</v>
      </c>
      <c r="C2" s="6" t="n">
        <v>1</v>
      </c>
      <c r="D2" s="9" t="s">
        <v>57</v>
      </c>
    </row>
    <row r="3" customFormat="false" ht="15" hidden="false" customHeight="false" outlineLevel="0" collapsed="false">
      <c r="A3" s="8" t="s">
        <v>14</v>
      </c>
      <c r="B3" s="9" t="s">
        <v>56</v>
      </c>
      <c r="C3" s="6" t="n">
        <v>2</v>
      </c>
      <c r="D3" s="9" t="s">
        <v>58</v>
      </c>
    </row>
    <row r="4" customFormat="false" ht="15" hidden="false" customHeight="false" outlineLevel="0" collapsed="false">
      <c r="A4" s="8" t="s">
        <v>14</v>
      </c>
      <c r="B4" s="9" t="s">
        <v>56</v>
      </c>
      <c r="C4" s="6" t="n">
        <v>3</v>
      </c>
      <c r="D4" s="9" t="s">
        <v>59</v>
      </c>
    </row>
    <row r="5" customFormat="false" ht="15" hidden="false" customHeight="false" outlineLevel="0" collapsed="false">
      <c r="A5" s="8" t="s">
        <v>14</v>
      </c>
      <c r="B5" s="9" t="s">
        <v>56</v>
      </c>
      <c r="C5" s="6" t="n">
        <v>4</v>
      </c>
      <c r="D5" s="9" t="s">
        <v>60</v>
      </c>
    </row>
    <row r="6" customFormat="false" ht="15" hidden="false" customHeight="false" outlineLevel="0" collapsed="false">
      <c r="A6" s="8" t="s">
        <v>15</v>
      </c>
      <c r="B6" s="9" t="s">
        <v>61</v>
      </c>
      <c r="C6" s="6" t="n">
        <v>1</v>
      </c>
      <c r="D6" s="9" t="s">
        <v>62</v>
      </c>
    </row>
    <row r="7" customFormat="false" ht="15" hidden="false" customHeight="false" outlineLevel="0" collapsed="false">
      <c r="A7" s="8" t="s">
        <v>15</v>
      </c>
      <c r="B7" s="9" t="s">
        <v>61</v>
      </c>
      <c r="C7" s="6" t="n">
        <v>2</v>
      </c>
      <c r="D7" s="9" t="s">
        <v>63</v>
      </c>
    </row>
    <row r="8" customFormat="false" ht="15" hidden="false" customHeight="false" outlineLevel="0" collapsed="false">
      <c r="A8" s="8" t="s">
        <v>15</v>
      </c>
      <c r="B8" s="9" t="s">
        <v>61</v>
      </c>
      <c r="C8" s="6" t="n">
        <v>3</v>
      </c>
      <c r="D8" s="9" t="s">
        <v>64</v>
      </c>
    </row>
    <row r="9" customFormat="false" ht="15" hidden="false" customHeight="false" outlineLevel="0" collapsed="false">
      <c r="A9" s="8" t="s">
        <v>15</v>
      </c>
      <c r="B9" s="9" t="s">
        <v>61</v>
      </c>
      <c r="C9" s="6" t="n">
        <v>4</v>
      </c>
      <c r="D9" s="9" t="s">
        <v>65</v>
      </c>
    </row>
    <row r="10" customFormat="false" ht="15" hidden="false" customHeight="false" outlineLevel="0" collapsed="false">
      <c r="A10" s="8" t="s">
        <v>15</v>
      </c>
      <c r="B10" s="9" t="s">
        <v>61</v>
      </c>
      <c r="C10" s="6" t="n">
        <v>5</v>
      </c>
      <c r="D10" s="9" t="s">
        <v>66</v>
      </c>
    </row>
    <row r="11" customFormat="false" ht="15" hidden="false" customHeight="false" outlineLevel="0" collapsed="false">
      <c r="A11" s="8" t="s">
        <v>15</v>
      </c>
      <c r="B11" s="9" t="s">
        <v>61</v>
      </c>
      <c r="C11" s="6" t="n">
        <v>6</v>
      </c>
      <c r="D11" s="9" t="s">
        <v>67</v>
      </c>
    </row>
    <row r="12" customFormat="false" ht="15" hidden="false" customHeight="false" outlineLevel="0" collapsed="false">
      <c r="A12" s="8" t="s">
        <v>15</v>
      </c>
      <c r="B12" s="9" t="s">
        <v>61</v>
      </c>
      <c r="C12" s="6" t="n">
        <v>7</v>
      </c>
      <c r="D12" s="9" t="s">
        <v>68</v>
      </c>
    </row>
    <row r="13" customFormat="false" ht="15" hidden="false" customHeight="false" outlineLevel="0" collapsed="false">
      <c r="A13" s="8" t="s">
        <v>15</v>
      </c>
      <c r="B13" s="9" t="s">
        <v>61</v>
      </c>
      <c r="C13" s="6" t="n">
        <v>8</v>
      </c>
      <c r="D13" s="9" t="s">
        <v>69</v>
      </c>
    </row>
    <row r="14" customFormat="false" ht="15" hidden="false" customHeight="false" outlineLevel="0" collapsed="false">
      <c r="A14" s="8" t="s">
        <v>16</v>
      </c>
      <c r="B14" s="9" t="s">
        <v>70</v>
      </c>
      <c r="C14" s="6" t="n">
        <v>1</v>
      </c>
      <c r="D14" s="9" t="s">
        <v>71</v>
      </c>
    </row>
    <row r="15" customFormat="false" ht="15" hidden="false" customHeight="false" outlineLevel="0" collapsed="false">
      <c r="A15" s="8" t="s">
        <v>16</v>
      </c>
      <c r="B15" s="9" t="s">
        <v>70</v>
      </c>
      <c r="C15" s="6" t="n">
        <v>2</v>
      </c>
      <c r="D15" s="9" t="s">
        <v>72</v>
      </c>
    </row>
    <row r="16" customFormat="false" ht="15" hidden="false" customHeight="false" outlineLevel="0" collapsed="false">
      <c r="A16" s="8" t="s">
        <v>16</v>
      </c>
      <c r="B16" s="9" t="s">
        <v>70</v>
      </c>
      <c r="C16" s="6" t="n">
        <v>3</v>
      </c>
      <c r="D16" s="9" t="s">
        <v>73</v>
      </c>
    </row>
    <row r="17" customFormat="false" ht="15" hidden="false" customHeight="false" outlineLevel="0" collapsed="false">
      <c r="A17" s="8" t="s">
        <v>16</v>
      </c>
      <c r="B17" s="9" t="s">
        <v>70</v>
      </c>
      <c r="C17" s="6" t="n">
        <v>4</v>
      </c>
      <c r="D17" s="9" t="s">
        <v>74</v>
      </c>
    </row>
    <row r="18" customFormat="false" ht="15" hidden="false" customHeight="false" outlineLevel="0" collapsed="false">
      <c r="A18" s="8" t="s">
        <v>16</v>
      </c>
      <c r="B18" s="9" t="s">
        <v>70</v>
      </c>
      <c r="C18" s="6" t="n">
        <v>5</v>
      </c>
      <c r="D18" s="9" t="s">
        <v>75</v>
      </c>
    </row>
    <row r="19" customFormat="false" ht="15" hidden="false" customHeight="false" outlineLevel="0" collapsed="false">
      <c r="A19" s="8" t="s">
        <v>16</v>
      </c>
      <c r="B19" s="9" t="s">
        <v>70</v>
      </c>
      <c r="C19" s="6" t="n">
        <v>6</v>
      </c>
      <c r="D19" s="9" t="s">
        <v>76</v>
      </c>
    </row>
    <row r="20" customFormat="false" ht="15" hidden="false" customHeight="false" outlineLevel="0" collapsed="false">
      <c r="A20" s="8" t="s">
        <v>16</v>
      </c>
      <c r="B20" s="9" t="s">
        <v>70</v>
      </c>
      <c r="C20" s="6" t="n">
        <v>7</v>
      </c>
      <c r="D20" s="9" t="s">
        <v>77</v>
      </c>
    </row>
    <row r="21" customFormat="false" ht="15" hidden="false" customHeight="false" outlineLevel="0" collapsed="false">
      <c r="A21" s="8" t="s">
        <v>16</v>
      </c>
      <c r="B21" s="9" t="s">
        <v>70</v>
      </c>
      <c r="C21" s="6" t="n">
        <v>8</v>
      </c>
      <c r="D21" s="9" t="s">
        <v>78</v>
      </c>
    </row>
    <row r="22" customFormat="false" ht="15" hidden="false" customHeight="false" outlineLevel="0" collapsed="false">
      <c r="A22" s="8" t="s">
        <v>16</v>
      </c>
      <c r="B22" s="9" t="s">
        <v>70</v>
      </c>
      <c r="C22" s="6" t="n">
        <v>9</v>
      </c>
      <c r="D22" s="9" t="s">
        <v>79</v>
      </c>
    </row>
    <row r="23" customFormat="false" ht="15" hidden="false" customHeight="false" outlineLevel="0" collapsed="false">
      <c r="A23" s="8" t="s">
        <v>16</v>
      </c>
      <c r="B23" s="9" t="s">
        <v>70</v>
      </c>
      <c r="C23" s="6" t="n">
        <v>10</v>
      </c>
      <c r="D23" s="9" t="s">
        <v>80</v>
      </c>
    </row>
    <row r="24" customFormat="false" ht="15" hidden="false" customHeight="false" outlineLevel="0" collapsed="false">
      <c r="A24" s="8" t="s">
        <v>17</v>
      </c>
      <c r="B24" s="9" t="s">
        <v>81</v>
      </c>
      <c r="C24" s="6" t="n">
        <v>1</v>
      </c>
      <c r="D24" s="9" t="s">
        <v>82</v>
      </c>
    </row>
    <row r="25" customFormat="false" ht="15" hidden="false" customHeight="false" outlineLevel="0" collapsed="false">
      <c r="A25" s="8" t="s">
        <v>17</v>
      </c>
      <c r="B25" s="9" t="s">
        <v>81</v>
      </c>
      <c r="C25" s="6" t="n">
        <v>2</v>
      </c>
      <c r="D25" s="9" t="s">
        <v>83</v>
      </c>
    </row>
    <row r="26" customFormat="false" ht="15" hidden="false" customHeight="false" outlineLevel="0" collapsed="false">
      <c r="A26" s="8" t="s">
        <v>17</v>
      </c>
      <c r="B26" s="9" t="s">
        <v>81</v>
      </c>
      <c r="C26" s="6" t="n">
        <v>3</v>
      </c>
      <c r="D26" s="9" t="s">
        <v>84</v>
      </c>
    </row>
    <row r="27" customFormat="false" ht="15" hidden="false" customHeight="false" outlineLevel="0" collapsed="false">
      <c r="A27" s="8" t="s">
        <v>17</v>
      </c>
      <c r="B27" s="9" t="s">
        <v>81</v>
      </c>
      <c r="C27" s="6" t="n">
        <v>4</v>
      </c>
      <c r="D27" s="9" t="s">
        <v>85</v>
      </c>
    </row>
    <row r="28" customFormat="false" ht="15" hidden="false" customHeight="false" outlineLevel="0" collapsed="false">
      <c r="A28" s="8" t="s">
        <v>17</v>
      </c>
      <c r="B28" s="9" t="s">
        <v>81</v>
      </c>
      <c r="C28" s="6" t="n">
        <v>5</v>
      </c>
      <c r="D28" s="9" t="s">
        <v>86</v>
      </c>
    </row>
    <row r="29" customFormat="false" ht="15" hidden="false" customHeight="false" outlineLevel="0" collapsed="false">
      <c r="A29" s="8" t="s">
        <v>17</v>
      </c>
      <c r="B29" s="9" t="s">
        <v>81</v>
      </c>
      <c r="C29" s="6" t="n">
        <v>6</v>
      </c>
      <c r="D29" s="9" t="s">
        <v>87</v>
      </c>
    </row>
    <row r="30" customFormat="false" ht="15" hidden="false" customHeight="false" outlineLevel="0" collapsed="false">
      <c r="A30" s="8" t="s">
        <v>18</v>
      </c>
      <c r="B30" s="9" t="s">
        <v>88</v>
      </c>
      <c r="C30" s="6" t="n">
        <v>1</v>
      </c>
      <c r="D30" s="9" t="s">
        <v>89</v>
      </c>
    </row>
    <row r="31" customFormat="false" ht="15" hidden="false" customHeight="false" outlineLevel="0" collapsed="false">
      <c r="A31" s="8" t="s">
        <v>18</v>
      </c>
      <c r="B31" s="9" t="s">
        <v>88</v>
      </c>
      <c r="C31" s="6" t="n">
        <v>2</v>
      </c>
      <c r="D31" s="9" t="s">
        <v>90</v>
      </c>
    </row>
    <row r="32" customFormat="false" ht="15" hidden="false" customHeight="false" outlineLevel="0" collapsed="false">
      <c r="A32" s="8" t="s">
        <v>18</v>
      </c>
      <c r="B32" s="9" t="s">
        <v>88</v>
      </c>
      <c r="C32" s="6" t="n">
        <v>3</v>
      </c>
      <c r="D32" s="9" t="s">
        <v>91</v>
      </c>
    </row>
    <row r="33" customFormat="false" ht="15" hidden="false" customHeight="false" outlineLevel="0" collapsed="false">
      <c r="A33" s="8" t="s">
        <v>19</v>
      </c>
      <c r="B33" s="9" t="s">
        <v>92</v>
      </c>
      <c r="C33" s="6" t="n">
        <v>1</v>
      </c>
      <c r="D33" s="9" t="s">
        <v>93</v>
      </c>
    </row>
    <row r="34" customFormat="false" ht="15" hidden="false" customHeight="false" outlineLevel="0" collapsed="false">
      <c r="A34" s="8" t="s">
        <v>19</v>
      </c>
      <c r="B34" s="9" t="s">
        <v>92</v>
      </c>
      <c r="C34" s="6" t="n">
        <v>2</v>
      </c>
      <c r="D34" s="9" t="s">
        <v>94</v>
      </c>
    </row>
    <row r="35" customFormat="false" ht="15" hidden="false" customHeight="false" outlineLevel="0" collapsed="false">
      <c r="A35" s="8" t="s">
        <v>19</v>
      </c>
      <c r="B35" s="9" t="s">
        <v>92</v>
      </c>
      <c r="C35" s="6" t="n">
        <v>3</v>
      </c>
      <c r="D35" s="9" t="s">
        <v>95</v>
      </c>
    </row>
    <row r="36" customFormat="false" ht="15" hidden="false" customHeight="false" outlineLevel="0" collapsed="false">
      <c r="A36" s="8" t="s">
        <v>19</v>
      </c>
      <c r="B36" s="9" t="s">
        <v>92</v>
      </c>
      <c r="C36" s="6" t="n">
        <v>4</v>
      </c>
      <c r="D36" s="9" t="s">
        <v>96</v>
      </c>
    </row>
    <row r="37" customFormat="false" ht="15" hidden="false" customHeight="false" outlineLevel="0" collapsed="false">
      <c r="A37" s="8" t="s">
        <v>19</v>
      </c>
      <c r="B37" s="9" t="s">
        <v>92</v>
      </c>
      <c r="C37" s="6" t="n">
        <v>5</v>
      </c>
      <c r="D37" s="9" t="s">
        <v>97</v>
      </c>
    </row>
    <row r="38" customFormat="false" ht="15" hidden="false" customHeight="false" outlineLevel="0" collapsed="false">
      <c r="A38" s="8" t="s">
        <v>19</v>
      </c>
      <c r="B38" s="9" t="s">
        <v>92</v>
      </c>
      <c r="C38" s="6" t="n">
        <v>6</v>
      </c>
      <c r="D38" s="9" t="s">
        <v>98</v>
      </c>
    </row>
    <row r="39" customFormat="false" ht="15" hidden="false" customHeight="false" outlineLevel="0" collapsed="false">
      <c r="A39" s="8" t="s">
        <v>19</v>
      </c>
      <c r="B39" s="9" t="s">
        <v>92</v>
      </c>
      <c r="C39" s="6" t="n">
        <v>7</v>
      </c>
      <c r="D39" s="9" t="s">
        <v>99</v>
      </c>
    </row>
    <row r="40" customFormat="false" ht="15" hidden="false" customHeight="false" outlineLevel="0" collapsed="false">
      <c r="A40" s="8" t="s">
        <v>20</v>
      </c>
      <c r="B40" s="9" t="s">
        <v>100</v>
      </c>
      <c r="C40" s="6" t="n">
        <v>1</v>
      </c>
      <c r="D40" s="9" t="s">
        <v>101</v>
      </c>
    </row>
    <row r="41" customFormat="false" ht="15" hidden="false" customHeight="false" outlineLevel="0" collapsed="false">
      <c r="A41" s="8" t="s">
        <v>20</v>
      </c>
      <c r="B41" s="9" t="s">
        <v>100</v>
      </c>
      <c r="C41" s="6" t="n">
        <v>2</v>
      </c>
      <c r="D41" s="9" t="s">
        <v>102</v>
      </c>
    </row>
    <row r="42" customFormat="false" ht="15" hidden="false" customHeight="false" outlineLevel="0" collapsed="false">
      <c r="A42" s="8" t="s">
        <v>20</v>
      </c>
      <c r="B42" s="9" t="s">
        <v>100</v>
      </c>
      <c r="C42" s="6" t="n">
        <v>3</v>
      </c>
      <c r="D42" s="9" t="s">
        <v>103</v>
      </c>
    </row>
    <row r="43" customFormat="false" ht="15" hidden="false" customHeight="false" outlineLevel="0" collapsed="false">
      <c r="A43" s="8" t="s">
        <v>20</v>
      </c>
      <c r="B43" s="9" t="s">
        <v>100</v>
      </c>
      <c r="C43" s="6" t="n">
        <v>4</v>
      </c>
      <c r="D43" s="9" t="s">
        <v>104</v>
      </c>
    </row>
    <row r="44" customFormat="false" ht="15" hidden="false" customHeight="false" outlineLevel="0" collapsed="false">
      <c r="A44" s="8" t="s">
        <v>21</v>
      </c>
      <c r="B44" s="9" t="s">
        <v>105</v>
      </c>
      <c r="C44" s="6" t="n">
        <v>1</v>
      </c>
      <c r="D44" s="9" t="s">
        <v>106</v>
      </c>
    </row>
    <row r="45" customFormat="false" ht="15" hidden="false" customHeight="false" outlineLevel="0" collapsed="false">
      <c r="A45" s="8" t="s">
        <v>21</v>
      </c>
      <c r="B45" s="9" t="s">
        <v>105</v>
      </c>
      <c r="C45" s="6" t="n">
        <v>2</v>
      </c>
      <c r="D45" s="9" t="s">
        <v>107</v>
      </c>
    </row>
    <row r="46" customFormat="false" ht="15" hidden="false" customHeight="false" outlineLevel="0" collapsed="false">
      <c r="A46" s="8" t="s">
        <v>22</v>
      </c>
      <c r="B46" s="9" t="s">
        <v>108</v>
      </c>
      <c r="C46" s="6" t="n">
        <v>1</v>
      </c>
      <c r="D46" s="9" t="s">
        <v>109</v>
      </c>
    </row>
    <row r="47" customFormat="false" ht="15" hidden="false" customHeight="false" outlineLevel="0" collapsed="false">
      <c r="A47" s="8" t="s">
        <v>22</v>
      </c>
      <c r="B47" s="9" t="s">
        <v>108</v>
      </c>
      <c r="C47" s="6" t="n">
        <v>2</v>
      </c>
      <c r="D47" s="9" t="s">
        <v>110</v>
      </c>
    </row>
    <row r="48" customFormat="false" ht="15" hidden="false" customHeight="false" outlineLevel="0" collapsed="false">
      <c r="A48" s="8" t="s">
        <v>22</v>
      </c>
      <c r="B48" s="9" t="s">
        <v>108</v>
      </c>
      <c r="C48" s="6" t="n">
        <v>3</v>
      </c>
      <c r="D48" s="9" t="s">
        <v>111</v>
      </c>
    </row>
    <row r="49" customFormat="false" ht="15" hidden="false" customHeight="false" outlineLevel="0" collapsed="false">
      <c r="A49" s="8" t="s">
        <v>22</v>
      </c>
      <c r="B49" s="9" t="s">
        <v>108</v>
      </c>
      <c r="C49" s="6" t="n">
        <v>4</v>
      </c>
      <c r="D49" s="9" t="s">
        <v>112</v>
      </c>
    </row>
    <row r="50" customFormat="false" ht="15" hidden="false" customHeight="false" outlineLevel="0" collapsed="false">
      <c r="A50" s="8" t="s">
        <v>22</v>
      </c>
      <c r="B50" s="9" t="s">
        <v>108</v>
      </c>
      <c r="C50" s="6" t="n">
        <v>5</v>
      </c>
      <c r="D50" s="9" t="s">
        <v>113</v>
      </c>
    </row>
    <row r="51" customFormat="false" ht="15" hidden="false" customHeight="false" outlineLevel="0" collapsed="false">
      <c r="A51" s="8" t="s">
        <v>22</v>
      </c>
      <c r="B51" s="9" t="s">
        <v>108</v>
      </c>
      <c r="C51" s="6" t="n">
        <v>6</v>
      </c>
      <c r="D51" s="9" t="s">
        <v>114</v>
      </c>
    </row>
    <row r="52" customFormat="false" ht="15" hidden="false" customHeight="false" outlineLevel="0" collapsed="false">
      <c r="A52" s="8" t="s">
        <v>22</v>
      </c>
      <c r="B52" s="9" t="s">
        <v>108</v>
      </c>
      <c r="C52" s="6" t="n">
        <v>7</v>
      </c>
      <c r="D52" s="9" t="s">
        <v>115</v>
      </c>
    </row>
    <row r="53" customFormat="false" ht="15" hidden="false" customHeight="false" outlineLevel="0" collapsed="false">
      <c r="A53" s="8" t="s">
        <v>22</v>
      </c>
      <c r="B53" s="9" t="s">
        <v>108</v>
      </c>
      <c r="C53" s="6" t="n">
        <v>8</v>
      </c>
      <c r="D53" s="9" t="s">
        <v>116</v>
      </c>
    </row>
    <row r="55" customFormat="false" ht="15" hidden="false" customHeight="false" outlineLevel="0" collapsed="false">
      <c r="A55" s="7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5" min="2" style="0" width="11"/>
    <col collapsed="false" customWidth="true" hidden="false" outlineLevel="0" max="7" min="6" style="0" width="13"/>
    <col collapsed="false" customWidth="true" hidden="false" outlineLevel="0" max="8" min="8" style="0" width="9"/>
  </cols>
  <sheetData>
    <row r="1" customFormat="false" ht="15" hidden="false" customHeight="false" outlineLevel="0" collapsed="false">
      <c r="A1" s="4" t="s">
        <v>13</v>
      </c>
      <c r="B1" s="4" t="s">
        <v>118</v>
      </c>
      <c r="C1" s="4" t="s">
        <v>119</v>
      </c>
      <c r="D1" s="4" t="s">
        <v>120</v>
      </c>
      <c r="E1" s="4" t="s">
        <v>121</v>
      </c>
      <c r="F1" s="4" t="s">
        <v>122</v>
      </c>
      <c r="G1" s="4" t="s">
        <v>123</v>
      </c>
      <c r="H1" s="4" t="s">
        <v>124</v>
      </c>
    </row>
    <row r="2" customFormat="false" ht="15" hidden="false" customHeight="false" outlineLevel="0" collapsed="false">
      <c r="A2" s="10" t="s">
        <v>23</v>
      </c>
      <c r="B2" s="11" t="n">
        <v>0.5</v>
      </c>
      <c r="C2" s="11" t="n">
        <v>0.6</v>
      </c>
      <c r="D2" s="11" t="n">
        <v>0.5</v>
      </c>
      <c r="E2" s="11" t="n">
        <v>0.5</v>
      </c>
      <c r="F2" s="12" t="n">
        <f aca="false">AVERAGE(B2:C2)</f>
        <v>0.55</v>
      </c>
      <c r="G2" s="12" t="n">
        <f aca="false">AVERAGE(D2:E2)</f>
        <v>0.5</v>
      </c>
      <c r="H2" s="12" t="n">
        <f aca="false">IFERROR(F2/G2,"")</f>
        <v>1.1</v>
      </c>
    </row>
    <row r="3" customFormat="false" ht="15" hidden="false" customHeight="false" outlineLevel="0" collapsed="false">
      <c r="A3" s="10" t="s">
        <v>24</v>
      </c>
      <c r="B3" s="11" t="n">
        <v>0.6</v>
      </c>
      <c r="C3" s="11" t="n">
        <v>0.9</v>
      </c>
      <c r="D3" s="11" t="n">
        <v>0.5</v>
      </c>
      <c r="E3" s="11" t="n">
        <v>0.5</v>
      </c>
      <c r="F3" s="12" t="n">
        <f aca="false">AVERAGE(B3:C3)</f>
        <v>0.75</v>
      </c>
      <c r="G3" s="12" t="n">
        <f aca="false">AVERAGE(D3:E3)</f>
        <v>0.5</v>
      </c>
      <c r="H3" s="12" t="n">
        <f aca="false">IFERROR(F3/G3,"")</f>
        <v>1.5</v>
      </c>
    </row>
    <row r="4" customFormat="false" ht="15" hidden="false" customHeight="false" outlineLevel="0" collapsed="false">
      <c r="A4" s="10" t="s">
        <v>25</v>
      </c>
      <c r="B4" s="11" t="n">
        <v>0.8</v>
      </c>
      <c r="C4" s="11" t="n">
        <v>1</v>
      </c>
      <c r="D4" s="11" t="n">
        <v>0.5</v>
      </c>
      <c r="E4" s="11" t="n">
        <v>0.6</v>
      </c>
      <c r="F4" s="12" t="n">
        <f aca="false">AVERAGE(B4:C4)</f>
        <v>0.9</v>
      </c>
      <c r="G4" s="12" t="n">
        <f aca="false">AVERAGE(D4:E4)</f>
        <v>0.55</v>
      </c>
      <c r="H4" s="12" t="n">
        <f aca="false">IFERROR(F4/G4,"")</f>
        <v>1.63636363636364</v>
      </c>
    </row>
    <row r="5" customFormat="false" ht="15" hidden="false" customHeight="false" outlineLevel="0" collapsed="false">
      <c r="A5" s="10" t="s">
        <v>26</v>
      </c>
      <c r="B5" s="11" t="n">
        <v>0.6</v>
      </c>
      <c r="C5" s="11" t="n">
        <v>0.8</v>
      </c>
      <c r="D5" s="11" t="n">
        <v>0.4</v>
      </c>
      <c r="E5" s="11" t="n">
        <v>0.4</v>
      </c>
      <c r="F5" s="12" t="n">
        <f aca="false">AVERAGE(B5:C5)</f>
        <v>0.7</v>
      </c>
      <c r="G5" s="12" t="n">
        <f aca="false">AVERAGE(D5:E5)</f>
        <v>0.4</v>
      </c>
      <c r="H5" s="12" t="n">
        <f aca="false">IFERROR(F5/G5,"")</f>
        <v>1.75</v>
      </c>
    </row>
    <row r="6" customFormat="false" ht="15" hidden="false" customHeight="false" outlineLevel="0" collapsed="false">
      <c r="A6" s="10" t="s">
        <v>27</v>
      </c>
      <c r="B6" s="11" t="n">
        <v>0.8</v>
      </c>
      <c r="C6" s="11" t="n">
        <v>1</v>
      </c>
      <c r="D6" s="11" t="n">
        <v>0.5</v>
      </c>
      <c r="E6" s="11" t="n">
        <v>0.6</v>
      </c>
      <c r="F6" s="12" t="n">
        <f aca="false">AVERAGE(B6:C6)</f>
        <v>0.9</v>
      </c>
      <c r="G6" s="12" t="n">
        <f aca="false">AVERAGE(D6:E6)</f>
        <v>0.55</v>
      </c>
      <c r="H6" s="12" t="n">
        <f aca="false">IFERROR(F6/G6,"")</f>
        <v>1.63636363636364</v>
      </c>
    </row>
    <row r="7" customFormat="false" ht="15" hidden="false" customHeight="false" outlineLevel="0" collapsed="false">
      <c r="A7" s="10" t="s">
        <v>28</v>
      </c>
      <c r="B7" s="11" t="n">
        <v>0.6</v>
      </c>
      <c r="C7" s="11" t="n">
        <v>0.7</v>
      </c>
      <c r="D7" s="11" t="n">
        <v>0.4</v>
      </c>
      <c r="E7" s="11" t="n">
        <v>0.5</v>
      </c>
      <c r="F7" s="12" t="n">
        <f aca="false">AVERAGE(B7:C7)</f>
        <v>0.65</v>
      </c>
      <c r="G7" s="12" t="n">
        <f aca="false">AVERAGE(D7:E7)</f>
        <v>0.45</v>
      </c>
      <c r="H7" s="12" t="n">
        <f aca="false">IFERROR(F7/G7,"")</f>
        <v>1.44444444444444</v>
      </c>
    </row>
    <row r="8" customFormat="false" ht="15" hidden="false" customHeight="false" outlineLevel="0" collapsed="false">
      <c r="A8" s="10" t="s">
        <v>29</v>
      </c>
      <c r="B8" s="11" t="n">
        <v>0.6</v>
      </c>
      <c r="C8" s="11" t="n">
        <v>1</v>
      </c>
      <c r="D8" s="11" t="n">
        <v>0.4</v>
      </c>
      <c r="E8" s="11" t="n">
        <v>0.7</v>
      </c>
      <c r="F8" s="12" t="n">
        <f aca="false">AVERAGE(B8:C8)</f>
        <v>0.8</v>
      </c>
      <c r="G8" s="12" t="n">
        <f aca="false">AVERAGE(D8:E8)</f>
        <v>0.55</v>
      </c>
      <c r="H8" s="12" t="n">
        <f aca="false">IFERROR(F8/G8,"")</f>
        <v>1.45454545454545</v>
      </c>
    </row>
    <row r="9" customFormat="false" ht="15" hidden="false" customHeight="false" outlineLevel="0" collapsed="false">
      <c r="A9" s="10" t="s">
        <v>30</v>
      </c>
      <c r="B9" s="11" t="n">
        <v>0.6</v>
      </c>
      <c r="C9" s="11" t="n">
        <v>1</v>
      </c>
      <c r="D9" s="11" t="n">
        <v>0.6</v>
      </c>
      <c r="E9" s="11" t="n">
        <v>0.8</v>
      </c>
      <c r="F9" s="12" t="n">
        <f aca="false">AVERAGE(B9:C9)</f>
        <v>0.8</v>
      </c>
      <c r="G9" s="12" t="n">
        <f aca="false">AVERAGE(D9:E9)</f>
        <v>0.7</v>
      </c>
      <c r="H9" s="12" t="n">
        <f aca="false">IFERROR(F9/G9,"")</f>
        <v>1.14285714285714</v>
      </c>
    </row>
    <row r="10" customFormat="false" ht="15" hidden="false" customHeight="false" outlineLevel="0" collapsed="false">
      <c r="A10" s="10" t="s">
        <v>31</v>
      </c>
      <c r="B10" s="11" t="n">
        <v>0.6</v>
      </c>
      <c r="C10" s="11" t="n">
        <v>0.8</v>
      </c>
      <c r="D10" s="11" t="n">
        <v>0.5</v>
      </c>
      <c r="E10" s="11" t="n">
        <v>0.6</v>
      </c>
      <c r="F10" s="12" t="n">
        <f aca="false">AVERAGE(B10:C10)</f>
        <v>0.7</v>
      </c>
      <c r="G10" s="12" t="n">
        <f aca="false">AVERAGE(D10:E10)</f>
        <v>0.55</v>
      </c>
      <c r="H10" s="12" t="n">
        <f aca="false">IFERROR(F10/G10,"")</f>
        <v>1.27272727272727</v>
      </c>
    </row>
    <row r="11" customFormat="false" ht="15" hidden="false" customHeight="false" outlineLevel="0" collapsed="false">
      <c r="A11" s="10" t="s">
        <v>32</v>
      </c>
      <c r="B11" s="11" t="n">
        <v>0.7</v>
      </c>
      <c r="C11" s="11" t="n">
        <v>0.8</v>
      </c>
      <c r="D11" s="11" t="n">
        <v>0.5</v>
      </c>
      <c r="E11" s="11" t="n">
        <v>0.5</v>
      </c>
      <c r="F11" s="12" t="n">
        <f aca="false">AVERAGE(B11:C11)</f>
        <v>0.75</v>
      </c>
      <c r="G11" s="12" t="n">
        <f aca="false">AVERAGE(D11:E11)</f>
        <v>0.5</v>
      </c>
      <c r="H11" s="12" t="n">
        <f aca="false">IFERROR(F11/G11,"")</f>
        <v>1.5</v>
      </c>
    </row>
    <row r="12" customFormat="false" ht="15" hidden="false" customHeight="false" outlineLevel="0" collapsed="false">
      <c r="A12" s="10" t="s">
        <v>33</v>
      </c>
      <c r="B12" s="11" t="n">
        <v>0.8</v>
      </c>
      <c r="C12" s="11" t="n">
        <v>1</v>
      </c>
      <c r="D12" s="11" t="n">
        <v>0.5</v>
      </c>
      <c r="E12" s="11" t="n">
        <v>0.6</v>
      </c>
      <c r="F12" s="12" t="n">
        <f aca="false">AVERAGE(B12:C12)</f>
        <v>0.9</v>
      </c>
      <c r="G12" s="12" t="n">
        <f aca="false">AVERAGE(D12:E12)</f>
        <v>0.55</v>
      </c>
      <c r="H12" s="12" t="n">
        <f aca="false">IFERROR(F12/G12,"")</f>
        <v>1.63636363636364</v>
      </c>
    </row>
    <row r="13" customFormat="false" ht="15" hidden="false" customHeight="false" outlineLevel="0" collapsed="false">
      <c r="A13" s="10" t="s">
        <v>34</v>
      </c>
      <c r="B13" s="11" t="n">
        <v>0.8</v>
      </c>
      <c r="C13" s="11" t="n">
        <v>0.8</v>
      </c>
      <c r="D13" s="11" t="n">
        <v>0.5</v>
      </c>
      <c r="E13" s="11" t="n">
        <v>0.5</v>
      </c>
      <c r="F13" s="12" t="n">
        <f aca="false">AVERAGE(B13:C13)</f>
        <v>0.8</v>
      </c>
      <c r="G13" s="12" t="n">
        <f aca="false">AVERAGE(D13:E13)</f>
        <v>0.5</v>
      </c>
      <c r="H13" s="12" t="n">
        <f aca="false">IFERROR(F13/G13,"")</f>
        <v>1.6</v>
      </c>
    </row>
    <row r="14" customFormat="false" ht="15" hidden="false" customHeight="false" outlineLevel="0" collapsed="false">
      <c r="A14" s="10" t="s">
        <v>35</v>
      </c>
      <c r="B14" s="11" t="n">
        <v>0.6</v>
      </c>
      <c r="C14" s="11" t="n">
        <v>1</v>
      </c>
      <c r="D14" s="11" t="n">
        <v>0.4</v>
      </c>
      <c r="E14" s="11" t="n">
        <v>0.7</v>
      </c>
      <c r="F14" s="12" t="n">
        <f aca="false">AVERAGE(B14:C14)</f>
        <v>0.8</v>
      </c>
      <c r="G14" s="12" t="n">
        <f aca="false">AVERAGE(D14:E14)</f>
        <v>0.55</v>
      </c>
      <c r="H14" s="12" t="n">
        <f aca="false">IFERROR(F14/G14,"")</f>
        <v>1.45454545454545</v>
      </c>
    </row>
    <row r="15" customFormat="false" ht="15" hidden="false" customHeight="false" outlineLevel="0" collapsed="false">
      <c r="A15" s="10" t="s">
        <v>36</v>
      </c>
      <c r="B15" s="11" t="n">
        <v>0.6</v>
      </c>
      <c r="C15" s="11" t="n">
        <v>0.8</v>
      </c>
      <c r="D15" s="11" t="n">
        <v>0.5</v>
      </c>
      <c r="E15" s="11" t="n">
        <v>0.5</v>
      </c>
      <c r="F15" s="12" t="n">
        <f aca="false">AVERAGE(B15:C15)</f>
        <v>0.7</v>
      </c>
      <c r="G15" s="12" t="n">
        <f aca="false">AVERAGE(D15:E15)</f>
        <v>0.5</v>
      </c>
      <c r="H15" s="12" t="n">
        <f aca="false">IFERROR(F15/G15,"")</f>
        <v>1.4</v>
      </c>
    </row>
    <row r="16" customFormat="false" ht="15" hidden="false" customHeight="false" outlineLevel="0" collapsed="false">
      <c r="A16" s="10" t="s">
        <v>37</v>
      </c>
      <c r="B16" s="11" t="n">
        <v>0.5</v>
      </c>
      <c r="C16" s="11" t="n">
        <v>0.8</v>
      </c>
      <c r="D16" s="11" t="n">
        <v>0.5</v>
      </c>
      <c r="E16" s="11" t="n">
        <v>0.6</v>
      </c>
      <c r="F16" s="12" t="n">
        <f aca="false">AVERAGE(B16:C16)</f>
        <v>0.65</v>
      </c>
      <c r="G16" s="12" t="n">
        <f aca="false">AVERAGE(D16:E16)</f>
        <v>0.55</v>
      </c>
      <c r="H16" s="12" t="n">
        <f aca="false">IFERROR(F16/G16,"")</f>
        <v>1.18181818181818</v>
      </c>
    </row>
    <row r="17" customFormat="false" ht="15" hidden="false" customHeight="false" outlineLevel="0" collapsed="false">
      <c r="A17" s="10" t="s">
        <v>38</v>
      </c>
      <c r="B17" s="11" t="n">
        <v>0.6</v>
      </c>
      <c r="C17" s="11" t="n">
        <v>1</v>
      </c>
      <c r="D17" s="11" t="n">
        <v>0.5</v>
      </c>
      <c r="E17" s="11" t="n">
        <v>0.5</v>
      </c>
      <c r="F17" s="12" t="n">
        <f aca="false">AVERAGE(B17:C17)</f>
        <v>0.8</v>
      </c>
      <c r="G17" s="12" t="n">
        <f aca="false">AVERAGE(D17:E17)</f>
        <v>0.5</v>
      </c>
      <c r="H17" s="12" t="n">
        <f aca="false">IFERROR(F17/G17,"")</f>
        <v>1.6</v>
      </c>
    </row>
    <row r="18" customFormat="false" ht="15" hidden="false" customHeight="false" outlineLevel="0" collapsed="false">
      <c r="A18" s="10" t="s">
        <v>39</v>
      </c>
      <c r="B18" s="11" t="n">
        <v>0.7</v>
      </c>
      <c r="C18" s="11" t="n">
        <v>1</v>
      </c>
      <c r="D18" s="11" t="n">
        <v>0.4</v>
      </c>
      <c r="E18" s="11" t="n">
        <v>0.6</v>
      </c>
      <c r="F18" s="12" t="n">
        <f aca="false">AVERAGE(B18:C18)</f>
        <v>0.85</v>
      </c>
      <c r="G18" s="12" t="n">
        <f aca="false">AVERAGE(D18:E18)</f>
        <v>0.5</v>
      </c>
      <c r="H18" s="12" t="n">
        <f aca="false">IFERROR(F18/G18,"")</f>
        <v>1.7</v>
      </c>
    </row>
    <row r="19" customFormat="false" ht="15" hidden="false" customHeight="false" outlineLevel="0" collapsed="false">
      <c r="A19" s="10" t="s">
        <v>40</v>
      </c>
      <c r="B19" s="11" t="n">
        <v>0.6</v>
      </c>
      <c r="C19" s="11" t="n">
        <v>1</v>
      </c>
      <c r="D19" s="11" t="n">
        <v>0.6</v>
      </c>
      <c r="E19" s="11" t="n">
        <v>0.6</v>
      </c>
      <c r="F19" s="12" t="n">
        <f aca="false">AVERAGE(B19:C19)</f>
        <v>0.8</v>
      </c>
      <c r="G19" s="12" t="n">
        <f aca="false">AVERAGE(D19:E19)</f>
        <v>0.6</v>
      </c>
      <c r="H19" s="12" t="n">
        <f aca="false">IFERROR(F19/G19,"")</f>
        <v>1.33333333333333</v>
      </c>
    </row>
    <row r="20" customFormat="false" ht="15" hidden="false" customHeight="false" outlineLevel="0" collapsed="false">
      <c r="A20" s="10" t="s">
        <v>41</v>
      </c>
      <c r="B20" s="11" t="n">
        <v>1</v>
      </c>
      <c r="C20" s="11" t="n">
        <v>1.2</v>
      </c>
      <c r="D20" s="11" t="n">
        <v>0.8</v>
      </c>
      <c r="E20" s="11" t="n">
        <v>0.8</v>
      </c>
      <c r="F20" s="12" t="n">
        <f aca="false">AVERAGE(B20:C20)</f>
        <v>1.1</v>
      </c>
      <c r="G20" s="12" t="n">
        <f aca="false">AVERAGE(D20:E20)</f>
        <v>0.8</v>
      </c>
      <c r="H20" s="12" t="n">
        <f aca="false">IFERROR(F20/G20,"")</f>
        <v>1.375</v>
      </c>
    </row>
    <row r="21" customFormat="false" ht="15" hidden="false" customHeight="false" outlineLevel="0" collapsed="false">
      <c r="A21" s="10" t="s">
        <v>42</v>
      </c>
      <c r="B21" s="11" t="n">
        <v>1</v>
      </c>
      <c r="C21" s="11" t="n">
        <v>1.2</v>
      </c>
      <c r="D21" s="11" t="n">
        <v>0.6</v>
      </c>
      <c r="E21" s="11" t="n">
        <v>0.8</v>
      </c>
      <c r="F21" s="12" t="n">
        <f aca="false">AVERAGE(B21:C21)</f>
        <v>1.1</v>
      </c>
      <c r="G21" s="12" t="n">
        <f aca="false">AVERAGE(D21:E21)</f>
        <v>0.7</v>
      </c>
      <c r="H21" s="12" t="n">
        <f aca="false">IFERROR(F21/G21,"")</f>
        <v>1.57142857142857</v>
      </c>
    </row>
    <row r="22" customFormat="false" ht="15" hidden="false" customHeight="false" outlineLevel="0" collapsed="false">
      <c r="A22" s="10" t="s">
        <v>43</v>
      </c>
      <c r="B22" s="11" t="n">
        <v>0.6</v>
      </c>
      <c r="C22" s="11" t="n">
        <v>0.8</v>
      </c>
      <c r="D22" s="11" t="n">
        <v>0.5</v>
      </c>
      <c r="E22" s="11" t="n">
        <v>0.7</v>
      </c>
      <c r="F22" s="12" t="n">
        <f aca="false">AVERAGE(B22:C22)</f>
        <v>0.7</v>
      </c>
      <c r="G22" s="12" t="n">
        <f aca="false">AVERAGE(D22:E22)</f>
        <v>0.6</v>
      </c>
      <c r="H22" s="12" t="n">
        <f aca="false">IFERROR(F22/G22,"")</f>
        <v>1.16666666666667</v>
      </c>
    </row>
    <row r="23" customFormat="false" ht="15" hidden="false" customHeight="false" outlineLevel="0" collapsed="false">
      <c r="A23" s="10" t="s">
        <v>44</v>
      </c>
      <c r="B23" s="11" t="n">
        <v>0.7</v>
      </c>
      <c r="C23" s="11" t="n">
        <v>0.8</v>
      </c>
      <c r="D23" s="11" t="n">
        <v>0.5</v>
      </c>
      <c r="E23" s="11" t="n">
        <v>0.5</v>
      </c>
      <c r="F23" s="12" t="n">
        <f aca="false">AVERAGE(B23:C23)</f>
        <v>0.75</v>
      </c>
      <c r="G23" s="12" t="n">
        <f aca="false">AVERAGE(D23:E23)</f>
        <v>0.5</v>
      </c>
      <c r="H23" s="12" t="n">
        <f aca="false">IFERROR(F23/G23,"")</f>
        <v>1.5</v>
      </c>
    </row>
    <row r="24" customFormat="false" ht="15" hidden="false" customHeight="false" outlineLevel="0" collapsed="false">
      <c r="A24" s="10" t="s">
        <v>45</v>
      </c>
      <c r="B24" s="11" t="n">
        <v>0.8</v>
      </c>
      <c r="C24" s="11" t="n">
        <v>1</v>
      </c>
      <c r="D24" s="11" t="n">
        <v>0.5</v>
      </c>
      <c r="E24" s="11" t="n">
        <v>0.6</v>
      </c>
      <c r="F24" s="12" t="n">
        <f aca="false">AVERAGE(B24:C24)</f>
        <v>0.9</v>
      </c>
      <c r="G24" s="12" t="n">
        <f aca="false">AVERAGE(D24:E24)</f>
        <v>0.55</v>
      </c>
      <c r="H24" s="12" t="n">
        <f aca="false">IFERROR(F24/G24,"")</f>
        <v>1.63636363636364</v>
      </c>
    </row>
    <row r="25" customFormat="false" ht="15" hidden="false" customHeight="false" outlineLevel="0" collapsed="false">
      <c r="A25" s="10" t="s">
        <v>46</v>
      </c>
      <c r="B25" s="11" t="n">
        <v>0.8</v>
      </c>
      <c r="C25" s="11" t="n">
        <v>1.2</v>
      </c>
      <c r="D25" s="11" t="n">
        <v>0.5</v>
      </c>
      <c r="E25" s="11" t="n">
        <v>0.6</v>
      </c>
      <c r="F25" s="12" t="n">
        <f aca="false">AVERAGE(B25:C25)</f>
        <v>1</v>
      </c>
      <c r="G25" s="12" t="n">
        <f aca="false">AVERAGE(D25:E25)</f>
        <v>0.55</v>
      </c>
      <c r="H25" s="12" t="n">
        <f aca="false">IFERROR(F25/G25,"")</f>
        <v>1.81818181818182</v>
      </c>
    </row>
    <row r="26" customFormat="false" ht="15" hidden="false" customHeight="false" outlineLevel="0" collapsed="false">
      <c r="A26" s="10" t="s">
        <v>47</v>
      </c>
      <c r="B26" s="11" t="n">
        <v>0.8</v>
      </c>
      <c r="C26" s="11" t="n">
        <v>2</v>
      </c>
      <c r="D26" s="11" t="n">
        <v>0.6</v>
      </c>
      <c r="E26" s="11" t="n">
        <v>1.5</v>
      </c>
      <c r="F26" s="12" t="n">
        <f aca="false">AVERAGE(B26:C26)</f>
        <v>1.4</v>
      </c>
      <c r="G26" s="12" t="n">
        <f aca="false">AVERAGE(D26:E26)</f>
        <v>1.05</v>
      </c>
      <c r="H26" s="12" t="n">
        <f aca="false">IFERROR(F26/G26,"")</f>
        <v>1.33333333333333</v>
      </c>
    </row>
    <row r="27" customFormat="false" ht="15" hidden="false" customHeight="false" outlineLevel="0" collapsed="false">
      <c r="A27" s="10" t="s">
        <v>48</v>
      </c>
      <c r="B27" s="11" t="n">
        <v>0.8</v>
      </c>
      <c r="C27" s="11" t="n">
        <v>1.2</v>
      </c>
      <c r="D27" s="11" t="n">
        <v>0.6</v>
      </c>
      <c r="E27" s="11" t="n">
        <v>0.8</v>
      </c>
      <c r="F27" s="12" t="n">
        <f aca="false">AVERAGE(B27:C27)</f>
        <v>1</v>
      </c>
      <c r="G27" s="12" t="n">
        <f aca="false">AVERAGE(D27:E27)</f>
        <v>0.7</v>
      </c>
      <c r="H27" s="12" t="n">
        <f aca="false">IFERROR(F27/G27,"")</f>
        <v>1.42857142857143</v>
      </c>
    </row>
    <row r="28" customFormat="false" ht="15" hidden="false" customHeight="false" outlineLevel="0" collapsed="false">
      <c r="A28" s="10" t="s">
        <v>49</v>
      </c>
      <c r="B28" s="11" t="n">
        <v>0.3</v>
      </c>
      <c r="C28" s="11" t="n">
        <v>0.7</v>
      </c>
      <c r="D28" s="11" t="n">
        <v>0.7</v>
      </c>
      <c r="E28" s="11" t="n">
        <v>0.9</v>
      </c>
      <c r="F28" s="12" t="n">
        <f aca="false">AVERAGE(B28:C28)</f>
        <v>0.5</v>
      </c>
      <c r="G28" s="12" t="n">
        <f aca="false">AVERAGE(D28:E28)</f>
        <v>0.8</v>
      </c>
      <c r="H28" s="12" t="n">
        <f aca="false">IFERROR(F28/G28,"")</f>
        <v>0.625</v>
      </c>
    </row>
    <row r="30" customFormat="false" ht="15" hidden="false" customHeight="false" outlineLevel="0" collapsed="false">
      <c r="A30" s="7" t="s">
        <v>125</v>
      </c>
    </row>
    <row r="31" customFormat="false" ht="15" hidden="false" customHeight="false" outlineLevel="0" collapsed="false">
      <c r="A31" s="7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3" min="3" style="0" width="48"/>
    <col collapsed="false" customWidth="true" hidden="false" outlineLevel="0" max="4" min="4" style="0" width="36"/>
    <col collapsed="false" customWidth="true" hidden="false" outlineLevel="0" max="5" min="5" style="0" width="11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4" t="s">
        <v>13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</row>
    <row r="2" customFormat="false" ht="15" hidden="false" customHeight="false" outlineLevel="0" collapsed="false">
      <c r="A2" s="10" t="s">
        <v>27</v>
      </c>
      <c r="B2" s="9" t="s">
        <v>132</v>
      </c>
      <c r="C2" s="9" t="s">
        <v>133</v>
      </c>
      <c r="D2" s="9" t="s">
        <v>134</v>
      </c>
      <c r="E2" s="6" t="s">
        <v>135</v>
      </c>
      <c r="F2" s="9" t="s">
        <v>136</v>
      </c>
    </row>
    <row r="3" customFormat="false" ht="15" hidden="false" customHeight="false" outlineLevel="0" collapsed="false">
      <c r="A3" s="10" t="s">
        <v>37</v>
      </c>
      <c r="B3" s="9" t="s">
        <v>137</v>
      </c>
      <c r="C3" s="9" t="s">
        <v>138</v>
      </c>
      <c r="D3" s="9" t="s">
        <v>139</v>
      </c>
      <c r="E3" s="6" t="s">
        <v>135</v>
      </c>
      <c r="F3" s="9" t="s">
        <v>136</v>
      </c>
    </row>
    <row r="4" customFormat="false" ht="15" hidden="false" customHeight="false" outlineLevel="0" collapsed="false">
      <c r="A4" s="10" t="s">
        <v>28</v>
      </c>
      <c r="B4" s="9" t="s">
        <v>137</v>
      </c>
      <c r="C4" s="9" t="s">
        <v>138</v>
      </c>
      <c r="D4" s="9" t="s">
        <v>140</v>
      </c>
      <c r="E4" s="6" t="s">
        <v>141</v>
      </c>
      <c r="F4" s="9" t="s">
        <v>142</v>
      </c>
    </row>
    <row r="5" customFormat="false" ht="15" hidden="false" customHeight="false" outlineLevel="0" collapsed="false">
      <c r="A5" s="10" t="s">
        <v>38</v>
      </c>
      <c r="B5" s="9" t="s">
        <v>143</v>
      </c>
      <c r="C5" s="9" t="s">
        <v>144</v>
      </c>
      <c r="D5" s="9" t="s">
        <v>145</v>
      </c>
      <c r="E5" s="6" t="s">
        <v>135</v>
      </c>
      <c r="F5" s="9" t="s">
        <v>136</v>
      </c>
    </row>
    <row r="6" customFormat="false" ht="15" hidden="false" customHeight="false" outlineLevel="0" collapsed="false">
      <c r="A6" s="10" t="s">
        <v>39</v>
      </c>
      <c r="B6" s="9" t="s">
        <v>146</v>
      </c>
      <c r="C6" s="9" t="s">
        <v>147</v>
      </c>
      <c r="D6" s="9" t="s">
        <v>148</v>
      </c>
      <c r="E6" s="6" t="s">
        <v>141</v>
      </c>
      <c r="F6" s="9" t="s">
        <v>142</v>
      </c>
    </row>
    <row r="7" customFormat="false" ht="15" hidden="false" customHeight="false" outlineLevel="0" collapsed="false">
      <c r="A7" s="10" t="s">
        <v>30</v>
      </c>
      <c r="B7" s="9" t="s">
        <v>137</v>
      </c>
      <c r="C7" s="9" t="s">
        <v>138</v>
      </c>
      <c r="D7" s="9" t="s">
        <v>149</v>
      </c>
      <c r="E7" s="6" t="s">
        <v>135</v>
      </c>
      <c r="F7" s="9" t="s">
        <v>136</v>
      </c>
    </row>
    <row r="8" customFormat="false" ht="15" hidden="false" customHeight="false" outlineLevel="0" collapsed="false">
      <c r="A8" s="10" t="s">
        <v>40</v>
      </c>
      <c r="B8" s="9" t="s">
        <v>137</v>
      </c>
      <c r="C8" s="9" t="s">
        <v>138</v>
      </c>
      <c r="D8" s="9" t="s">
        <v>150</v>
      </c>
      <c r="E8" s="6" t="s">
        <v>135</v>
      </c>
      <c r="F8" s="9" t="s">
        <v>136</v>
      </c>
    </row>
    <row r="9" customFormat="false" ht="15" hidden="false" customHeight="false" outlineLevel="0" collapsed="false">
      <c r="A9" s="10" t="s">
        <v>49</v>
      </c>
      <c r="B9" s="9" t="s">
        <v>137</v>
      </c>
      <c r="C9" s="9" t="s">
        <v>138</v>
      </c>
      <c r="D9" s="9" t="s">
        <v>151</v>
      </c>
      <c r="E9" s="6" t="s">
        <v>135</v>
      </c>
      <c r="F9" s="9" t="s">
        <v>136</v>
      </c>
    </row>
    <row r="10" customFormat="false" ht="15" hidden="false" customHeight="false" outlineLevel="0" collapsed="false">
      <c r="A10" s="10" t="s">
        <v>44</v>
      </c>
      <c r="B10" s="9" t="s">
        <v>137</v>
      </c>
      <c r="C10" s="9" t="s">
        <v>138</v>
      </c>
      <c r="D10" s="9" t="s">
        <v>139</v>
      </c>
      <c r="E10" s="6" t="s">
        <v>135</v>
      </c>
      <c r="F10" s="9" t="s">
        <v>136</v>
      </c>
    </row>
    <row r="11" customFormat="false" ht="15" hidden="false" customHeight="false" outlineLevel="0" collapsed="false">
      <c r="A11" s="10" t="s">
        <v>23</v>
      </c>
      <c r="B11" s="9" t="s">
        <v>152</v>
      </c>
      <c r="C11" s="9" t="s">
        <v>153</v>
      </c>
      <c r="D11" s="9" t="s">
        <v>154</v>
      </c>
      <c r="E11" s="6" t="s">
        <v>135</v>
      </c>
      <c r="F11" s="9" t="s">
        <v>136</v>
      </c>
    </row>
    <row r="12" customFormat="false" ht="15" hidden="false" customHeight="false" outlineLevel="0" collapsed="false">
      <c r="A12" s="10" t="s">
        <v>29</v>
      </c>
      <c r="B12" s="9" t="s">
        <v>132</v>
      </c>
      <c r="C12" s="9" t="s">
        <v>133</v>
      </c>
      <c r="D12" s="9" t="s">
        <v>134</v>
      </c>
      <c r="E12" s="6" t="s">
        <v>135</v>
      </c>
      <c r="F12" s="9" t="s">
        <v>136</v>
      </c>
    </row>
    <row r="13" customFormat="false" ht="15" hidden="false" customHeight="false" outlineLevel="0" collapsed="false">
      <c r="A13" s="10" t="s">
        <v>41</v>
      </c>
      <c r="B13" s="9" t="s">
        <v>143</v>
      </c>
      <c r="C13" s="9" t="s">
        <v>144</v>
      </c>
      <c r="D13" s="9" t="s">
        <v>155</v>
      </c>
      <c r="E13" s="6" t="s">
        <v>135</v>
      </c>
      <c r="F13" s="9" t="s">
        <v>136</v>
      </c>
    </row>
    <row r="14" customFormat="false" ht="15" hidden="false" customHeight="false" outlineLevel="0" collapsed="false">
      <c r="A14" s="10" t="s">
        <v>48</v>
      </c>
      <c r="B14" s="9" t="s">
        <v>152</v>
      </c>
      <c r="C14" s="9" t="s">
        <v>153</v>
      </c>
      <c r="D14" s="9" t="s">
        <v>156</v>
      </c>
      <c r="E14" s="6" t="s">
        <v>135</v>
      </c>
      <c r="F14" s="9" t="s">
        <v>136</v>
      </c>
    </row>
    <row r="15" customFormat="false" ht="15" hidden="false" customHeight="false" outlineLevel="0" collapsed="false">
      <c r="A15" s="10" t="s">
        <v>31</v>
      </c>
      <c r="B15" s="9" t="s">
        <v>143</v>
      </c>
      <c r="C15" s="9" t="s">
        <v>144</v>
      </c>
      <c r="D15" s="9" t="s">
        <v>155</v>
      </c>
      <c r="E15" s="6" t="s">
        <v>135</v>
      </c>
      <c r="F15" s="9" t="s">
        <v>136</v>
      </c>
    </row>
    <row r="16" customFormat="false" ht="15" hidden="false" customHeight="false" outlineLevel="0" collapsed="false">
      <c r="A16" s="10" t="s">
        <v>46</v>
      </c>
      <c r="B16" s="9" t="s">
        <v>137</v>
      </c>
      <c r="C16" s="9" t="s">
        <v>138</v>
      </c>
      <c r="D16" s="9" t="s">
        <v>139</v>
      </c>
      <c r="E16" s="6" t="s">
        <v>135</v>
      </c>
      <c r="F16" s="9" t="s">
        <v>136</v>
      </c>
    </row>
    <row r="17" customFormat="false" ht="15" hidden="false" customHeight="false" outlineLevel="0" collapsed="false">
      <c r="A17" s="10" t="s">
        <v>25</v>
      </c>
      <c r="B17" s="9" t="s">
        <v>132</v>
      </c>
      <c r="C17" s="9" t="s">
        <v>133</v>
      </c>
      <c r="D17" s="9" t="s">
        <v>134</v>
      </c>
      <c r="E17" s="6" t="s">
        <v>135</v>
      </c>
      <c r="F17" s="9" t="s">
        <v>136</v>
      </c>
    </row>
    <row r="18" customFormat="false" ht="15" hidden="false" customHeight="false" outlineLevel="0" collapsed="false">
      <c r="A18" s="10" t="s">
        <v>47</v>
      </c>
      <c r="B18" s="9" t="s">
        <v>143</v>
      </c>
      <c r="C18" s="9" t="s">
        <v>144</v>
      </c>
      <c r="D18" s="9" t="s">
        <v>157</v>
      </c>
      <c r="E18" s="6" t="s">
        <v>135</v>
      </c>
      <c r="F18" s="9" t="s">
        <v>136</v>
      </c>
    </row>
    <row r="19" customFormat="false" ht="15" hidden="false" customHeight="false" outlineLevel="0" collapsed="false">
      <c r="A19" s="10" t="s">
        <v>32</v>
      </c>
      <c r="B19" s="9" t="s">
        <v>152</v>
      </c>
      <c r="C19" s="9" t="s">
        <v>153</v>
      </c>
      <c r="D19" s="9" t="s">
        <v>154</v>
      </c>
      <c r="E19" s="6" t="s">
        <v>135</v>
      </c>
      <c r="F19" s="9" t="s">
        <v>136</v>
      </c>
    </row>
    <row r="20" customFormat="false" ht="15" hidden="false" customHeight="false" outlineLevel="0" collapsed="false">
      <c r="A20" s="10" t="s">
        <v>26</v>
      </c>
      <c r="B20" s="9" t="s">
        <v>158</v>
      </c>
      <c r="C20" s="9" t="s">
        <v>159</v>
      </c>
      <c r="D20" s="9" t="s">
        <v>160</v>
      </c>
      <c r="E20" s="6" t="s">
        <v>135</v>
      </c>
      <c r="F20" s="9" t="s">
        <v>136</v>
      </c>
    </row>
    <row r="21" customFormat="false" ht="15" hidden="false" customHeight="false" outlineLevel="0" collapsed="false">
      <c r="A21" s="10" t="s">
        <v>24</v>
      </c>
      <c r="B21" s="9" t="s">
        <v>152</v>
      </c>
      <c r="C21" s="9" t="s">
        <v>153</v>
      </c>
      <c r="D21" s="9" t="s">
        <v>154</v>
      </c>
      <c r="E21" s="6" t="s">
        <v>135</v>
      </c>
      <c r="F21" s="9" t="s">
        <v>136</v>
      </c>
    </row>
    <row r="22" customFormat="false" ht="15" hidden="false" customHeight="false" outlineLevel="0" collapsed="false">
      <c r="A22" s="10" t="s">
        <v>33</v>
      </c>
      <c r="B22" s="9" t="s">
        <v>143</v>
      </c>
      <c r="C22" s="9" t="s">
        <v>144</v>
      </c>
      <c r="D22" s="9" t="s">
        <v>161</v>
      </c>
      <c r="E22" s="6" t="s">
        <v>141</v>
      </c>
      <c r="F22" s="9" t="s">
        <v>142</v>
      </c>
    </row>
    <row r="23" customFormat="false" ht="15" hidden="false" customHeight="false" outlineLevel="0" collapsed="false">
      <c r="A23" s="10" t="s">
        <v>34</v>
      </c>
      <c r="B23" s="9" t="s">
        <v>158</v>
      </c>
      <c r="C23" s="9" t="s">
        <v>159</v>
      </c>
      <c r="D23" s="9" t="s">
        <v>160</v>
      </c>
      <c r="E23" s="6" t="s">
        <v>135</v>
      </c>
      <c r="F23" s="9" t="s">
        <v>136</v>
      </c>
    </row>
    <row r="24" customFormat="false" ht="15" hidden="false" customHeight="false" outlineLevel="0" collapsed="false">
      <c r="A24" s="10" t="s">
        <v>35</v>
      </c>
      <c r="B24" s="9" t="s">
        <v>152</v>
      </c>
      <c r="C24" s="9" t="s">
        <v>153</v>
      </c>
      <c r="D24" s="9" t="s">
        <v>154</v>
      </c>
      <c r="E24" s="6" t="s">
        <v>135</v>
      </c>
      <c r="F24" s="9" t="s">
        <v>136</v>
      </c>
    </row>
    <row r="25" customFormat="false" ht="15" hidden="false" customHeight="false" outlineLevel="0" collapsed="false">
      <c r="A25" s="10" t="s">
        <v>42</v>
      </c>
      <c r="B25" s="9" t="s">
        <v>158</v>
      </c>
      <c r="C25" s="9" t="s">
        <v>159</v>
      </c>
      <c r="D25" s="9" t="s">
        <v>160</v>
      </c>
      <c r="E25" s="6" t="s">
        <v>135</v>
      </c>
      <c r="F25" s="9" t="s">
        <v>136</v>
      </c>
    </row>
    <row r="26" customFormat="false" ht="15" hidden="false" customHeight="false" outlineLevel="0" collapsed="false">
      <c r="A26" s="10" t="s">
        <v>45</v>
      </c>
      <c r="B26" s="9" t="s">
        <v>143</v>
      </c>
      <c r="C26" s="9" t="s">
        <v>144</v>
      </c>
      <c r="D26" s="9" t="s">
        <v>155</v>
      </c>
      <c r="E26" s="6" t="s">
        <v>135</v>
      </c>
      <c r="F26" s="9" t="s">
        <v>136</v>
      </c>
    </row>
    <row r="27" customFormat="false" ht="15" hidden="false" customHeight="false" outlineLevel="0" collapsed="false">
      <c r="A27" s="10" t="s">
        <v>43</v>
      </c>
      <c r="B27" s="9" t="s">
        <v>152</v>
      </c>
      <c r="C27" s="9" t="s">
        <v>153</v>
      </c>
      <c r="D27" s="9" t="s">
        <v>154</v>
      </c>
      <c r="E27" s="6" t="s">
        <v>135</v>
      </c>
      <c r="F27" s="9" t="s">
        <v>136</v>
      </c>
    </row>
    <row r="28" customFormat="false" ht="15" hidden="false" customHeight="false" outlineLevel="0" collapsed="false">
      <c r="A28" s="10" t="s">
        <v>36</v>
      </c>
      <c r="B28" s="9" t="s">
        <v>152</v>
      </c>
      <c r="C28" s="9" t="s">
        <v>153</v>
      </c>
      <c r="D28" s="9" t="s">
        <v>154</v>
      </c>
      <c r="E28" s="6" t="s">
        <v>135</v>
      </c>
      <c r="F28" s="9" t="s">
        <v>136</v>
      </c>
    </row>
    <row r="30" customFormat="false" ht="15" hidden="false" customHeight="false" outlineLevel="0" collapsed="false">
      <c r="A30" s="7" t="s">
        <v>162</v>
      </c>
    </row>
    <row r="31" customFormat="false" ht="15" hidden="false" customHeight="false" outlineLevel="0" collapsed="false">
      <c r="A31" s="7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2026-10-08T17:52:52Z</dcterms:created>
  <dc:creator>openpyxl</dc:creator>
  <dc:description/>
  <dc:language>en-US</dc:language>
  <cp:lastModifiedBy/>
  <dcterms:modified xsi:type="dcterms:W3CDTF">2026-10-08T17:52:52Z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